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040" windowHeight="6800"/>
  </bookViews>
  <sheets>
    <sheet name="Questions" sheetId="1" r:id="rId1"/>
    <sheet name="data set" sheetId="2" r:id="rId2"/>
    <sheet name="Answers" sheetId="3" r:id="rId3"/>
    <sheet name="Sheet1" sheetId="4" r:id="rId4"/>
  </sheets>
  <definedNames>
    <definedName name="_xlnm._FilterDatabase" localSheetId="3" hidden="1">Sheet1!$A$1:$G$35</definedName>
    <definedName name="_xlnm._FilterDatabase" localSheetId="2" hidden="1">Answers!$A$1:$K$35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<sst xmlns="http://schemas.openxmlformats.org/spreadsheetml/2006/main" count="503" uniqueCount="144">
  <si>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</si>
  <si>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</si>
  <si>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</si>
  <si>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</si>
  <si>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</si>
  <si>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</si>
  <si>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</si>
  <si>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</si>
  <si>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</si>
  <si>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</si>
  <si>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</si>
  <si>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</si>
  <si>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</si>
  <si>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</si>
  <si>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</si>
  <si>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</si>
  <si>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</si>
  <si>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</si>
  <si>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</si>
  <si>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</si>
  <si>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</si>
  <si>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</si>
  <si>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</si>
  <si>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</si>
  <si>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</si>
  <si>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</si>
  <si>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</si>
  <si>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</si>
  <si>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</si>
  <si>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</si>
  <si>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</si>
  <si>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</si>
  <si>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</si>
  <si>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</si>
  <si>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</si>
  <si>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</si>
  <si>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</si>
  <si>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</si>
  <si>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</si>
  <si>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</si>
  <si>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</si>
  <si>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</si>
  <si>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</si>
  <si>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</si>
  <si>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</si>
  <si>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</si>
  <si>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</si>
  <si>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</si>
  <si>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</si>
  <si>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</si>
  <si>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</si>
  <si>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</si>
  <si>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</si>
  <si>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</si>
  <si>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</si>
  <si>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</si>
  <si>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</si>
  <si>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</si>
  <si>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</si>
  <si>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</si>
  <si>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</si>
  <si>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</si>
  <si>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</si>
  <si>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</si>
  <si>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</si>
  <si>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</si>
  <si>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</si>
  <si>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</si>
  <si>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</si>
  <si>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</si>
  <si>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</si>
  <si>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</si>
  <si>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</si>
  <si>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</si>
  <si>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</si>
  <si>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</si>
  <si>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</si>
  <si>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</si>
  <si>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</si>
  <si>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</si>
  <si>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</si>
  <si>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</si>
  <si>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</si>
  <si>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</si>
  <si>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</si>
  <si>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</si>
  <si>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</si>
  <si>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</si>
  <si>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</si>
  <si>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</si>
  <si>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</si>
  <si>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</si>
  <si>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</si>
  <si>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</si>
  <si>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</si>
  <si>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</si>
  <si>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</si>
  <si>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</si>
  <si>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</si>
  <si>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</si>
  <si>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</si>
  <si>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</si>
  <si>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</si>
  <si>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</si>
  <si>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</si>
  <si>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</si>
  <si>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</si>
  <si>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</si>
  <si>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</si>
  <si>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</si>
  <si>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</si>
  <si>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</si>
  <si>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</si>
  <si>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</si>
  <si>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</si>
  <si>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</si>
  <si>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</si>
  <si>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</si>
  <si>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New Products</t>
  </si>
  <si>
    <t>Product Brand</t>
  </si>
  <si>
    <t>Price Bar</t>
  </si>
  <si>
    <t>Customized category</t>
  </si>
  <si>
    <t>US</t>
  </si>
  <si>
    <t>1. Missing price</t>
  </si>
  <si>
    <t>we can replace missing price by median</t>
  </si>
  <si>
    <t>median of electronic price=700</t>
  </si>
  <si>
    <t>UK</t>
  </si>
  <si>
    <t>2. median of fashion price = 60</t>
  </si>
  <si>
    <t>3. outdoor price =130 (only one products belong to outdooor)</t>
  </si>
  <si>
    <t>IN</t>
  </si>
  <si>
    <t>AU</t>
  </si>
  <si>
    <t>2. Missing category=4</t>
  </si>
  <si>
    <t>DE</t>
  </si>
  <si>
    <t>CA</t>
  </si>
  <si>
    <t>ES</t>
  </si>
  <si>
    <t>CN</t>
  </si>
  <si>
    <t>IT</t>
  </si>
  <si>
    <t>RU</t>
  </si>
  <si>
    <t>BR</t>
  </si>
  <si>
    <t>FR</t>
  </si>
  <si>
    <t>isblank</t>
  </si>
  <si>
    <t>blank price</t>
  </si>
  <si>
    <t>blank  category</t>
  </si>
  <si>
    <t>median of electronics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</si>
</sst>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;\-&quot;$&quot;#,##0"/>
    <numFmt numFmtId="179" formatCode="m/d/yyyy;@"/>
    <numFmt numFmtId="180" formatCode="&quot;$&quot;#,##0.00;[Red]&quot;$&quot;#,##0.00"/>
    <numFmt numFmtId="181" formatCode="dd\-mm\-yyyy"/>
  </numFmts>
  <fonts count="30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0"/>
      <color rgb="FF000000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Calibri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E0F7FA"/>
      </patternFill>
    </fill>
    <fill>
      <patternFill patternType="solid">
        <fgColor theme="0"/>
        <bgColor rgb="FFE0F7FA"/>
      </patternFill>
    </fill>
    <fill>
      <patternFill patternType="solid">
        <fgColor rgb="FFFF0000"/>
        <bgColor rgb="FFE0F7FA"/>
      </patternFill>
    </fill>
    <fill>
      <patternFill patternType="solid">
        <fgColor theme="8" tint="0.4"/>
        <bgColor rgb="FF4DD0E1"/>
      </patternFill>
    </fill>
    <fill>
      <patternFill patternType="solid">
        <fgColor theme="8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3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4" borderId="4" applyNumberFormat="0" applyAlignment="0" applyProtection="0">
      <alignment vertical="center"/>
    </xf>
    <xf numFmtId="0" fontId="20" fillId="15" borderId="5" applyNumberFormat="0" applyAlignment="0" applyProtection="0">
      <alignment vertical="center"/>
    </xf>
    <xf numFmtId="0" fontId="21" fillId="15" borderId="4" applyNumberFormat="0" applyAlignment="0" applyProtection="0">
      <alignment vertical="center"/>
    </xf>
    <xf numFmtId="0" fontId="22" fillId="16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2" borderId="0" xfId="0" applyFont="1" applyFill="1" applyAlignment="1">
      <alignment horizontal="center"/>
    </xf>
    <xf numFmtId="178" fontId="1" fillId="2" borderId="0" xfId="0" applyNumberFormat="1" applyFont="1" applyFill="1" applyAlignment="1">
      <alignment horizontal="center"/>
    </xf>
    <xf numFmtId="0" fontId="2" fillId="0" borderId="0" xfId="0" applyFont="1" applyFill="1" applyAlignment="1"/>
    <xf numFmtId="178" fontId="2" fillId="0" borderId="0" xfId="0" applyNumberFormat="1" applyFont="1" applyFill="1" applyAlignment="1"/>
    <xf numFmtId="0" fontId="2" fillId="3" borderId="0" xfId="0" applyFont="1" applyFill="1" applyAlignment="1"/>
    <xf numFmtId="178" fontId="2" fillId="3" borderId="0" xfId="0" applyNumberFormat="1" applyFont="1" applyFill="1" applyAlignment="1"/>
    <xf numFmtId="0" fontId="2" fillId="4" borderId="0" xfId="0" applyFont="1" applyFill="1" applyAlignment="1"/>
    <xf numFmtId="178" fontId="2" fillId="5" borderId="0" xfId="0" applyNumberFormat="1" applyFont="1" applyFill="1" applyAlignment="1"/>
    <xf numFmtId="0" fontId="2" fillId="6" borderId="0" xfId="0" applyFont="1" applyFill="1" applyAlignment="1"/>
    <xf numFmtId="0" fontId="2" fillId="7" borderId="0" xfId="0" applyFont="1" applyFill="1" applyAlignment="1"/>
    <xf numFmtId="179" fontId="0" fillId="0" borderId="0" xfId="0" applyNumberFormat="1" applyFont="1">
      <alignment vertical="center"/>
    </xf>
    <xf numFmtId="0" fontId="0" fillId="0" borderId="0" xfId="0" applyFont="1">
      <alignment vertical="center"/>
    </xf>
    <xf numFmtId="8" fontId="0" fillId="0" borderId="0" xfId="0" applyNumberFormat="1">
      <alignment vertical="center"/>
    </xf>
    <xf numFmtId="180" fontId="0" fillId="0" borderId="0" xfId="0" applyNumberFormat="1">
      <alignment vertical="center"/>
    </xf>
    <xf numFmtId="179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8" fontId="1" fillId="8" borderId="0" xfId="0" applyNumberFormat="1" applyFont="1" applyFill="1" applyAlignment="1">
      <alignment horizontal="center"/>
    </xf>
    <xf numFmtId="180" fontId="1" fillId="8" borderId="0" xfId="0" applyNumberFormat="1" applyFont="1" applyFill="1" applyAlignment="1">
      <alignment horizontal="center"/>
    </xf>
    <xf numFmtId="0" fontId="4" fillId="9" borderId="0" xfId="0" applyFont="1" applyFill="1">
      <alignment vertical="center"/>
    </xf>
    <xf numFmtId="181" fontId="2" fillId="0" borderId="0" xfId="0" applyNumberFormat="1" applyFont="1" applyFill="1" applyAlignment="1"/>
    <xf numFmtId="0" fontId="5" fillId="0" borderId="0" xfId="0" applyFont="1" applyFill="1" applyAlignment="1"/>
    <xf numFmtId="8" fontId="2" fillId="0" borderId="0" xfId="0" applyNumberFormat="1" applyFont="1" applyFill="1" applyAlignment="1"/>
    <xf numFmtId="180" fontId="2" fillId="0" borderId="0" xfId="0" applyNumberFormat="1" applyFont="1" applyFill="1" applyAlignment="1"/>
    <xf numFmtId="181" fontId="2" fillId="3" borderId="0" xfId="0" applyNumberFormat="1" applyFont="1" applyFill="1" applyAlignment="1"/>
    <xf numFmtId="0" fontId="5" fillId="3" borderId="0" xfId="0" applyFont="1" applyFill="1" applyAlignment="1"/>
    <xf numFmtId="8" fontId="2" fillId="3" borderId="0" xfId="0" applyNumberFormat="1" applyFont="1" applyFill="1" applyAlignment="1"/>
    <xf numFmtId="180" fontId="2" fillId="3" borderId="0" xfId="0" applyNumberFormat="1" applyFont="1" applyFill="1" applyAlignment="1"/>
    <xf numFmtId="0" fontId="0" fillId="10" borderId="0" xfId="0" applyFill="1">
      <alignment vertical="center"/>
    </xf>
    <xf numFmtId="8" fontId="2" fillId="11" borderId="0" xfId="0" applyNumberFormat="1" applyFont="1" applyFill="1" applyAlignment="1"/>
    <xf numFmtId="180" fontId="2" fillId="12" borderId="0" xfId="0" applyNumberFormat="1" applyFont="1" applyFill="1" applyAlignment="1"/>
    <xf numFmtId="0" fontId="0" fillId="4" borderId="0" xfId="0" applyFill="1">
      <alignment vertical="center"/>
    </xf>
    <xf numFmtId="180" fontId="2" fillId="6" borderId="0" xfId="0" applyNumberFormat="1" applyFont="1" applyFill="1" applyAlignment="1"/>
    <xf numFmtId="0" fontId="2" fillId="12" borderId="0" xfId="0" applyFont="1" applyFill="1" applyAlignment="1"/>
    <xf numFmtId="179" fontId="0" fillId="0" borderId="0" xfId="0" applyNumberFormat="1">
      <alignment vertical="center"/>
    </xf>
    <xf numFmtId="0" fontId="6" fillId="0" borderId="0" xfId="0" applyFont="1" applyFill="1" applyAlignment="1"/>
    <xf numFmtId="0" fontId="3" fillId="0" borderId="0" xfId="0" applyFont="1" applyFill="1" applyAlignment="1"/>
    <xf numFmtId="0" fontId="7" fillId="0" borderId="0" xfId="0" applyFont="1" applyFill="1" applyAlignment="1"/>
    <xf numFmtId="0" fontId="8" fillId="0" borderId="0" xfId="0" applyFont="1" applyFill="1" applyAlignment="1"/>
    <xf numFmtId="0" fontId="9" fillId="0" borderId="0" xfId="0" applyFont="1" applyFill="1" applyAlignment="1"/>
    <xf numFmtId="0" fontId="1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showGridLines="0" tabSelected="1" topLeftCell="A10" workbookViewId="0">
      <selection activeCell="I1" sqref="I1"/>
    </sheetView>
  </sheetViews>
  <sheetFormatPr defaultColWidth="12.6272727272727" defaultRowHeight="15" customHeight="1"/>
  <cols>
    <col min="1" max="1" width="12.6272727272727" style="37" customWidth="1"/>
    <col min="2" max="2" width="7.5" style="37" customWidth="1"/>
    <col min="3" max="6" width="12.6272727272727" style="37" customWidth="1"/>
    <col min="7" max="16384" width="12.6272727272727" style="37"/>
  </cols>
  <sheetData>
    <row r="1" s="37" customFormat="1" ht="15.75" customHeight="1" spans="1:11">
      <c r="A1" s="38" t="s">
        <v>0</v>
      </c>
    </row>
    <row r="2" s="37" customFormat="1" ht="15.75" customHeight="1"/>
    <row r="3" s="37" customFormat="1" ht="15.75" customHeight="1" spans="1:11">
      <c r="B3" s="39" t="s">
        <v>1</v>
      </c>
    </row>
    <row r="4" s="37" customFormat="1" ht="15.75" customHeight="1" spans="1:11">
      <c r="C4" s="40" t="s">
        <v>2</v>
      </c>
    </row>
    <row r="5" s="37" customFormat="1" ht="15.75" customHeight="1" spans="1:11">
      <c r="B5" s="41"/>
      <c r="C5" s="40" t="s">
        <v>3</v>
      </c>
    </row>
    <row r="6" s="37" customFormat="1" ht="15.75" customHeight="1" spans="1:11">
      <c r="B6" s="41"/>
    </row>
    <row r="7" s="37" customFormat="1" ht="15.75" customHeight="1" spans="1:11">
      <c r="B7" s="39" t="s">
        <v>4</v>
      </c>
    </row>
    <row r="8" s="37" customFormat="1" ht="15.75" customHeight="1" spans="1:11">
      <c r="C8" s="40" t="s">
        <v>5</v>
      </c>
    </row>
    <row r="9" s="37" customFormat="1" ht="15.75" customHeight="1" spans="1:11">
      <c r="C9" s="40" t="s">
        <v>6</v>
      </c>
    </row>
    <row r="10" s="37" customFormat="1" ht="15.75" customHeight="1" spans="1:11">
      <c r="C10" s="40" t="s">
        <v>7</v>
      </c>
    </row>
    <row r="11" s="37" customFormat="1" ht="15.75" customHeight="1" spans="1:11">
      <c r="B11" s="41"/>
    </row>
    <row r="12" s="37" customFormat="1" ht="15.75" customHeight="1" spans="1:11">
      <c r="B12" s="39" t="s">
        <v>8</v>
      </c>
    </row>
    <row r="13" s="37" customFormat="1" ht="15.75" customHeight="1" spans="1:11">
      <c r="B13" s="39"/>
      <c r="C13" s="40" t="s">
        <v>9</v>
      </c>
    </row>
    <row r="14" s="37" customFormat="1" ht="15.75" customHeight="1"/>
    <row r="15" s="37" customFormat="1" ht="15.75" customHeight="1" spans="1:11">
      <c r="B15" s="39" t="s">
        <v>10</v>
      </c>
      <c r="C15" s="4"/>
      <c r="D15" s="4"/>
      <c r="E15" s="4"/>
      <c r="F15" s="4"/>
      <c r="G15" s="4"/>
      <c r="H15" s="4"/>
      <c r="I15" s="4"/>
      <c r="J15" s="4"/>
      <c r="K15" s="4"/>
    </row>
    <row r="16" s="37" customFormat="1" ht="15.75" customHeight="1" spans="1:11">
      <c r="B16" s="4"/>
      <c r="C16" s="40" t="s">
        <v>11</v>
      </c>
      <c r="D16" s="4"/>
      <c r="E16" s="4"/>
      <c r="F16" s="4"/>
      <c r="G16" s="4"/>
      <c r="H16" s="4"/>
      <c r="I16" s="4"/>
      <c r="J16" s="4"/>
      <c r="K16" s="4"/>
    </row>
    <row r="17" s="37" customFormat="1" ht="15.75" customHeight="1" spans="2:11">
      <c r="B17" s="4"/>
      <c r="C17" s="40" t="s">
        <v>12</v>
      </c>
      <c r="D17" s="4"/>
      <c r="E17" s="4"/>
      <c r="F17" s="4"/>
      <c r="G17" s="4"/>
      <c r="H17" s="4"/>
      <c r="I17" s="4"/>
      <c r="J17" s="4"/>
      <c r="K17" s="4"/>
    </row>
    <row r="18" s="37" customFormat="1" ht="15.75" customHeight="1" spans="2:11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="37" customFormat="1" ht="15.75" customHeight="1" spans="2:11">
      <c r="B19" s="39" t="s">
        <v>13</v>
      </c>
      <c r="C19" s="4"/>
      <c r="D19" s="4"/>
      <c r="E19" s="4"/>
      <c r="F19" s="4"/>
      <c r="G19" s="4"/>
      <c r="H19" s="4"/>
      <c r="I19" s="4"/>
      <c r="J19" s="4"/>
      <c r="K19" s="4"/>
    </row>
    <row r="20" s="37" customFormat="1" ht="15.75" customHeight="1" spans="2:11">
      <c r="B20" s="4"/>
      <c r="C20" s="40" t="s">
        <v>14</v>
      </c>
      <c r="D20" s="4"/>
      <c r="E20" s="4"/>
      <c r="F20" s="4"/>
      <c r="G20" s="4"/>
      <c r="H20" s="4"/>
      <c r="I20" s="4"/>
      <c r="J20" s="4"/>
      <c r="K20" s="4"/>
    </row>
    <row r="21" s="37" customFormat="1" ht="15.75" customHeight="1" spans="2:11">
      <c r="B21" s="4"/>
      <c r="C21" s="40" t="s">
        <v>15</v>
      </c>
      <c r="D21" s="4"/>
      <c r="E21" s="4"/>
      <c r="F21" s="4"/>
      <c r="G21" s="4"/>
      <c r="H21" s="4"/>
      <c r="I21" s="4"/>
      <c r="J21" s="4"/>
      <c r="K21" s="4"/>
    </row>
    <row r="22" s="37" customFormat="1" ht="15.75" customHeight="1" spans="2:11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="37" customFormat="1" ht="15.75" customHeight="1" spans="2:11">
      <c r="B23" s="39" t="s">
        <v>16</v>
      </c>
      <c r="C23" s="4"/>
      <c r="D23" s="4"/>
      <c r="E23" s="4"/>
      <c r="F23" s="4"/>
      <c r="G23" s="4"/>
      <c r="H23" s="4"/>
      <c r="I23" s="4"/>
      <c r="J23" s="4"/>
      <c r="K23" s="4"/>
    </row>
    <row r="24" s="37" customFormat="1" ht="15.75" customHeight="1" spans="2:11">
      <c r="B24" s="4"/>
      <c r="C24" s="40" t="s">
        <v>17</v>
      </c>
      <c r="D24" s="4"/>
      <c r="E24" s="4"/>
      <c r="F24" s="4"/>
      <c r="G24" s="4"/>
      <c r="H24" s="4"/>
      <c r="I24" s="4"/>
      <c r="J24" s="4"/>
      <c r="K24" s="4"/>
    </row>
    <row r="25" s="37" customFormat="1" ht="15.75" customHeight="1" spans="2:11">
      <c r="B25" s="4"/>
      <c r="C25" s="40" t="s">
        <v>18</v>
      </c>
      <c r="D25" s="4"/>
      <c r="E25" s="4"/>
      <c r="F25" s="4"/>
      <c r="G25" s="4"/>
      <c r="H25" s="4"/>
      <c r="I25" s="4"/>
      <c r="J25" s="4"/>
      <c r="K25" s="4"/>
    </row>
    <row r="26" s="37" customFormat="1" ht="15.75" customHeight="1" spans="2:11">
      <c r="B26" s="4"/>
      <c r="C26" s="40"/>
      <c r="D26" s="4"/>
      <c r="E26" s="4"/>
      <c r="F26" s="4"/>
      <c r="G26" s="4"/>
      <c r="H26" s="4"/>
      <c r="I26" s="4"/>
      <c r="J26" s="4"/>
      <c r="K26" s="4"/>
    </row>
    <row r="27" s="37" customFormat="1" ht="15.75" customHeight="1" spans="2:11">
      <c r="B27" s="4"/>
      <c r="C27" s="4"/>
      <c r="D27" s="42"/>
      <c r="E27" s="4"/>
      <c r="F27" s="4"/>
      <c r="G27" s="4"/>
      <c r="H27" s="4"/>
      <c r="I27" s="4"/>
      <c r="J27" s="4"/>
      <c r="K27" s="4"/>
    </row>
    <row r="28" s="37" customFormat="1" ht="15.75" customHeight="1"/>
    <row r="29" s="37" customFormat="1" ht="15.75" customHeight="1"/>
    <row r="30" s="37" customFormat="1" ht="15.75" customHeight="1"/>
    <row r="31" s="37" customFormat="1" ht="15.75" customHeight="1"/>
    <row r="32" s="37" customFormat="1" ht="15.75" customHeight="1"/>
    <row r="33" s="37" customFormat="1" ht="15.75" customHeight="1"/>
    <row r="34" s="37" customFormat="1" ht="15.75" customHeight="1"/>
    <row r="35" s="37" customFormat="1" ht="15.75" customHeight="1"/>
    <row r="36" s="37" customFormat="1" ht="15.75" customHeight="1"/>
    <row r="37" s="37" customFormat="1" ht="15.75" customHeight="1"/>
    <row r="38" s="37" customFormat="1" ht="15.75" customHeight="1"/>
    <row r="39" s="37" customFormat="1" ht="15.75" customHeight="1"/>
    <row r="40" s="37" customFormat="1" ht="15.75" customHeight="1"/>
    <row r="41" s="37" customFormat="1" ht="15.75" customHeight="1"/>
    <row r="42" s="37" customFormat="1" ht="15.75" customHeight="1"/>
    <row r="43" s="37" customFormat="1" ht="15.75" customHeight="1"/>
    <row r="44" s="37" customFormat="1" ht="15.75" customHeight="1"/>
    <row r="45" s="37" customFormat="1" ht="15.75" customHeight="1"/>
    <row r="46" s="37" customFormat="1" ht="15.75" customHeight="1"/>
    <row r="47" s="37" customFormat="1" ht="15.75" customHeight="1"/>
    <row r="48" s="37" customFormat="1" ht="15.75" customHeight="1"/>
    <row r="49" s="37" customFormat="1" ht="15.75" customHeight="1"/>
    <row r="50" s="37" customFormat="1" ht="15.75" customHeight="1"/>
    <row r="51" s="37" customFormat="1" ht="15.75" customHeight="1"/>
    <row r="52" s="37" customFormat="1" ht="15.75" customHeight="1"/>
    <row r="53" s="37" customFormat="1" ht="15.75" customHeight="1"/>
    <row r="54" s="37" customFormat="1" ht="15.75" customHeight="1"/>
    <row r="55" s="37" customFormat="1" ht="15.75" customHeight="1"/>
    <row r="56" s="37" customFormat="1" ht="15.75" customHeight="1"/>
    <row r="57" s="37" customFormat="1" ht="15.75" customHeight="1"/>
    <row r="58" s="37" customFormat="1" ht="15.75" customHeight="1"/>
    <row r="59" s="37" customFormat="1" ht="15.75" customHeight="1"/>
    <row r="60" s="37" customFormat="1" ht="15.75" customHeight="1"/>
    <row r="61" s="37" customFormat="1" ht="15.75" customHeight="1"/>
    <row r="62" s="37" customFormat="1" ht="15.75" customHeight="1"/>
    <row r="63" s="37" customFormat="1" ht="15.75" customHeight="1"/>
    <row r="64" s="37" customFormat="1" ht="15.75" customHeight="1"/>
    <row r="65" s="37" customFormat="1" ht="15.75" customHeight="1"/>
    <row r="66" s="37" customFormat="1" ht="15.75" customHeight="1"/>
    <row r="67" s="37" customFormat="1" ht="15.75" customHeight="1"/>
    <row r="68" s="37" customFormat="1" ht="15.75" customHeight="1"/>
    <row r="69" s="37" customFormat="1" ht="15.75" customHeight="1"/>
    <row r="70" s="37" customFormat="1" ht="15.75" customHeight="1"/>
    <row r="71" s="37" customFormat="1" ht="15.75" customHeight="1"/>
    <row r="72" s="37" customFormat="1" ht="15.75" customHeight="1"/>
    <row r="73" s="37" customFormat="1" ht="15.75" customHeight="1"/>
    <row r="74" s="37" customFormat="1" ht="15.75" customHeight="1"/>
    <row r="75" s="37" customFormat="1" ht="15.75" customHeight="1"/>
    <row r="76" s="37" customFormat="1" ht="15.75" customHeight="1"/>
    <row r="77" s="37" customFormat="1" ht="15.75" customHeight="1"/>
    <row r="78" s="37" customFormat="1" ht="15.75" customHeight="1"/>
    <row r="79" s="37" customFormat="1" ht="15.75" customHeight="1"/>
    <row r="80" s="37" customFormat="1" ht="15.75" customHeight="1"/>
    <row r="81" s="37" customFormat="1" ht="15.75" customHeight="1"/>
    <row r="82" s="37" customFormat="1" ht="15.75" customHeight="1"/>
    <row r="83" s="37" customFormat="1" ht="15.75" customHeight="1"/>
    <row r="84" s="37" customFormat="1" ht="15.75" customHeight="1"/>
    <row r="85" s="37" customFormat="1" ht="15.75" customHeight="1"/>
    <row r="86" s="37" customFormat="1" ht="15.75" customHeight="1"/>
    <row r="87" s="37" customFormat="1" ht="15.75" customHeight="1"/>
    <row r="88" s="37" customFormat="1" ht="15.75" customHeight="1"/>
    <row r="89" s="37" customFormat="1" ht="15.75" customHeight="1"/>
    <row r="90" s="37" customFormat="1" ht="15.75" customHeight="1"/>
    <row r="91" s="37" customFormat="1" ht="15.75" customHeight="1"/>
    <row r="92" s="37" customFormat="1" ht="15.75" customHeight="1"/>
    <row r="93" s="37" customFormat="1" ht="15.75" customHeight="1"/>
    <row r="94" s="37" customFormat="1" ht="15.75" customHeight="1"/>
    <row r="95" s="37" customFormat="1" ht="15.75" customHeight="1"/>
    <row r="96" s="37" customFormat="1" ht="15.75" customHeight="1"/>
    <row r="97" s="37" customFormat="1" ht="15.75" customHeight="1"/>
    <row r="98" s="37" customFormat="1" ht="15.75" customHeight="1"/>
    <row r="99" s="37" customFormat="1" ht="15.75" customHeight="1"/>
    <row r="100" s="37" customFormat="1" ht="15.75" customHeight="1"/>
    <row r="101" s="37" customFormat="1" ht="15.75" customHeight="1"/>
    <row r="102" s="37" customFormat="1" ht="15.75" customHeight="1"/>
    <row r="103" s="37" customFormat="1" ht="15.75" customHeight="1"/>
    <row r="104" s="37" customFormat="1" ht="15.75" customHeight="1"/>
    <row r="105" s="37" customFormat="1" ht="15.75" customHeight="1"/>
    <row r="106" s="37" customFormat="1" ht="15.75" customHeight="1"/>
    <row r="107" s="37" customFormat="1" ht="15.75" customHeight="1"/>
    <row r="108" s="37" customFormat="1" ht="15.75" customHeight="1"/>
    <row r="109" s="37" customFormat="1" ht="15.75" customHeight="1"/>
    <row r="110" s="37" customFormat="1" ht="15.75" customHeight="1"/>
    <row r="111" s="37" customFormat="1" ht="15.75" customHeight="1"/>
    <row r="112" s="37" customFormat="1" ht="15.75" customHeight="1"/>
    <row r="113" s="37" customFormat="1" ht="15.75" customHeight="1"/>
    <row r="114" s="37" customFormat="1" ht="15.75" customHeight="1"/>
    <row r="115" s="37" customFormat="1" ht="15.75" customHeight="1"/>
    <row r="116" s="37" customFormat="1" ht="15.75" customHeight="1"/>
    <row r="117" s="37" customFormat="1" ht="15.75" customHeight="1"/>
    <row r="118" s="37" customFormat="1" ht="15.75" customHeight="1"/>
    <row r="119" s="37" customFormat="1" ht="15.75" customHeight="1"/>
    <row r="120" s="37" customFormat="1" ht="15.75" customHeight="1"/>
    <row r="121" s="37" customFormat="1" ht="15.75" customHeight="1"/>
    <row r="122" s="37" customFormat="1" ht="15.75" customHeight="1"/>
    <row r="123" s="37" customFormat="1" ht="15.75" customHeight="1"/>
    <row r="124" s="37" customFormat="1" ht="15.75" customHeight="1"/>
    <row r="125" s="37" customFormat="1" ht="15.75" customHeight="1"/>
    <row r="126" s="37" customFormat="1" ht="15.75" customHeight="1"/>
    <row r="127" s="37" customFormat="1" ht="15.75" customHeight="1"/>
    <row r="128" s="37" customFormat="1" ht="15.75" customHeight="1"/>
    <row r="129" s="37" customFormat="1" ht="15.75" customHeight="1"/>
    <row r="130" s="37" customFormat="1" ht="15.75" customHeight="1"/>
    <row r="131" s="37" customFormat="1" ht="15.75" customHeight="1"/>
    <row r="132" s="37" customFormat="1" ht="15.75" customHeight="1"/>
    <row r="133" s="37" customFormat="1" ht="15.75" customHeight="1"/>
    <row r="134" s="37" customFormat="1" ht="15.75" customHeight="1"/>
    <row r="135" s="37" customFormat="1" ht="15.75" customHeight="1"/>
    <row r="136" s="37" customFormat="1" ht="15.75" customHeight="1"/>
    <row r="137" s="37" customFormat="1" ht="15.75" customHeight="1"/>
    <row r="138" s="37" customFormat="1" ht="15.75" customHeight="1"/>
    <row r="139" s="37" customFormat="1" ht="15.75" customHeight="1"/>
    <row r="140" s="37" customFormat="1" ht="15.75" customHeight="1"/>
    <row r="141" s="37" customFormat="1" ht="15.75" customHeight="1"/>
    <row r="142" s="37" customFormat="1" ht="15.75" customHeight="1"/>
    <row r="143" s="37" customFormat="1" ht="15.75" customHeight="1"/>
    <row r="144" s="37" customFormat="1" ht="15.75" customHeight="1"/>
    <row r="145" s="37" customFormat="1" ht="15.75" customHeight="1"/>
    <row r="146" s="37" customFormat="1" ht="15.75" customHeight="1"/>
    <row r="147" s="37" customFormat="1" ht="15.75" customHeight="1"/>
    <row r="148" s="37" customFormat="1" ht="15.75" customHeight="1"/>
    <row r="149" s="37" customFormat="1" ht="15.75" customHeight="1"/>
    <row r="150" s="37" customFormat="1" ht="15.75" customHeight="1"/>
    <row r="151" s="37" customFormat="1" ht="15.75" customHeight="1"/>
    <row r="152" s="37" customFormat="1" ht="15.75" customHeight="1"/>
    <row r="153" s="37" customFormat="1" ht="15.75" customHeight="1"/>
    <row r="154" s="37" customFormat="1" ht="15.75" customHeight="1"/>
    <row r="155" s="37" customFormat="1" ht="15.75" customHeight="1"/>
    <row r="156" s="37" customFormat="1" ht="15.75" customHeight="1"/>
    <row r="157" s="37" customFormat="1" ht="15.75" customHeight="1"/>
    <row r="158" s="37" customFormat="1" ht="15.75" customHeight="1"/>
    <row r="159" s="37" customFormat="1" ht="15.75" customHeight="1"/>
    <row r="160" s="37" customFormat="1" ht="15.75" customHeight="1"/>
    <row r="161" s="37" customFormat="1" ht="15.75" customHeight="1"/>
    <row r="162" s="37" customFormat="1" ht="15.75" customHeight="1"/>
    <row r="163" s="37" customFormat="1" ht="15.75" customHeight="1"/>
    <row r="164" s="37" customFormat="1" ht="15.75" customHeight="1"/>
    <row r="165" s="37" customFormat="1" ht="15.75" customHeight="1"/>
    <row r="166" s="37" customFormat="1" ht="15.75" customHeight="1"/>
    <row r="167" s="37" customFormat="1" ht="15.75" customHeight="1"/>
    <row r="168" s="37" customFormat="1" ht="15.75" customHeight="1"/>
    <row r="169" s="37" customFormat="1" ht="15.75" customHeight="1"/>
    <row r="170" s="37" customFormat="1" ht="15.75" customHeight="1"/>
    <row r="171" s="37" customFormat="1" ht="15.75" customHeight="1"/>
    <row r="172" s="37" customFormat="1" ht="15.75" customHeight="1"/>
    <row r="173" s="37" customFormat="1" ht="15.75" customHeight="1"/>
    <row r="174" s="37" customFormat="1" ht="15.75" customHeight="1"/>
    <row r="175" s="37" customFormat="1" ht="15.75" customHeight="1"/>
    <row r="176" s="37" customFormat="1" ht="15.75" customHeight="1"/>
    <row r="177" s="37" customFormat="1" ht="15.75" customHeight="1"/>
    <row r="178" s="37" customFormat="1" ht="15.75" customHeight="1"/>
    <row r="179" s="37" customFormat="1" ht="15.75" customHeight="1"/>
    <row r="180" s="37" customFormat="1" ht="15.75" customHeight="1"/>
    <row r="181" s="37" customFormat="1" ht="15.75" customHeight="1"/>
    <row r="182" s="37" customFormat="1" ht="15.75" customHeight="1"/>
    <row r="183" s="37" customFormat="1" ht="15.75" customHeight="1"/>
    <row r="184" s="37" customFormat="1" ht="15.75" customHeight="1"/>
    <row r="185" s="37" customFormat="1" ht="15.75" customHeight="1"/>
    <row r="186" s="37" customFormat="1" ht="15.75" customHeight="1"/>
    <row r="187" s="37" customFormat="1" ht="15.75" customHeight="1"/>
    <row r="188" s="37" customFormat="1" ht="15.75" customHeight="1"/>
    <row r="189" s="37" customFormat="1" ht="15.75" customHeight="1"/>
    <row r="190" s="37" customFormat="1" ht="15.75" customHeight="1"/>
    <row r="191" s="37" customFormat="1" ht="15.75" customHeight="1"/>
    <row r="192" s="37" customFormat="1" ht="15.75" customHeight="1"/>
    <row r="193" s="37" customFormat="1" ht="15.75" customHeight="1"/>
    <row r="194" s="37" customFormat="1" ht="15.75" customHeight="1"/>
    <row r="195" s="37" customFormat="1" ht="15.75" customHeight="1"/>
    <row r="196" s="37" customFormat="1" ht="15.75" customHeight="1"/>
    <row r="197" s="37" customFormat="1" ht="15.75" customHeight="1"/>
    <row r="198" s="37" customFormat="1" ht="15.75" customHeight="1"/>
    <row r="199" s="37" customFormat="1" ht="15.75" customHeight="1"/>
    <row r="200" s="37" customFormat="1" ht="15.75" customHeight="1"/>
    <row r="201" s="37" customFormat="1" ht="15.75" customHeight="1"/>
    <row r="202" s="37" customFormat="1" ht="15.75" customHeight="1"/>
    <row r="203" s="37" customFormat="1" ht="15.75" customHeight="1"/>
    <row r="204" s="37" customFormat="1" ht="15.75" customHeight="1"/>
    <row r="205" s="37" customFormat="1" ht="15.75" customHeight="1"/>
    <row r="206" s="37" customFormat="1" ht="15.75" customHeight="1"/>
    <row r="207" s="37" customFormat="1" ht="15.75" customHeight="1"/>
    <row r="208" s="37" customFormat="1" ht="15.75" customHeight="1"/>
    <row r="209" s="37" customFormat="1" ht="15.75" customHeight="1"/>
    <row r="210" s="37" customFormat="1" ht="15.75" customHeight="1"/>
    <row r="211" s="37" customFormat="1" ht="15.75" customHeight="1"/>
    <row r="212" s="37" customFormat="1" ht="15.75" customHeight="1"/>
    <row r="213" s="37" customFormat="1" ht="15.75" customHeight="1"/>
    <row r="214" s="37" customFormat="1" ht="15.75" customHeight="1"/>
    <row r="215" s="37" customFormat="1" ht="15.75" customHeight="1"/>
    <row r="216" s="37" customFormat="1" ht="15.75" customHeight="1"/>
    <row r="217" s="37" customFormat="1" ht="15.75" customHeight="1"/>
    <row r="218" s="37" customFormat="1" ht="15.75" customHeight="1"/>
    <row r="219" s="37" customFormat="1" ht="15.75" customHeight="1"/>
    <row r="220" s="37" customFormat="1" ht="15.75" customHeight="1"/>
    <row r="221" s="37" customFormat="1" ht="15.75" customHeight="1"/>
    <row r="222" s="37" customFormat="1" ht="15.75" customHeight="1"/>
    <row r="223" s="37" customFormat="1" ht="15.75" customHeight="1"/>
    <row r="224" s="37" customFormat="1" ht="15.75" customHeight="1"/>
    <row r="225" s="37" customFormat="1" ht="15.75" customHeight="1"/>
    <row r="226" s="37" customFormat="1" ht="15.75" customHeight="1"/>
    <row r="227" s="37" customFormat="1" ht="15.75" customHeight="1"/>
    <row r="228" s="37" customFormat="1" ht="15.75" customHeight="1"/>
    <row r="229" s="37" customFormat="1" ht="15.75" customHeight="1"/>
    <row r="230" s="37" customFormat="1" ht="15.75" customHeight="1"/>
    <row r="231" s="37" customFormat="1" ht="15.75" customHeight="1"/>
    <row r="232" s="37" customFormat="1" ht="15.75" customHeight="1"/>
    <row r="233" s="37" customFormat="1" ht="15.75" customHeight="1"/>
    <row r="234" s="37" customFormat="1" ht="15.75" customHeight="1"/>
    <row r="235" s="37" customFormat="1" ht="15.75" customHeight="1"/>
    <row r="236" s="37" customFormat="1" ht="15.75" customHeight="1"/>
    <row r="237" s="37" customFormat="1" ht="15.75" customHeight="1"/>
    <row r="238" s="37" customFormat="1" ht="15.75" customHeight="1"/>
    <row r="239" s="37" customFormat="1" ht="15.75" customHeight="1"/>
    <row r="240" s="37" customFormat="1" ht="15.75" customHeight="1"/>
    <row r="241" s="37" customFormat="1" ht="15.75" customHeight="1"/>
    <row r="242" s="37" customFormat="1" ht="15.75" customHeight="1"/>
    <row r="243" s="37" customFormat="1" ht="15.75" customHeight="1"/>
    <row r="244" s="37" customFormat="1" ht="15.75" customHeight="1"/>
    <row r="245" s="37" customFormat="1" ht="15.75" customHeight="1"/>
    <row r="246" s="37" customFormat="1" ht="15.75" customHeight="1"/>
    <row r="247" s="37" customFormat="1" ht="15.75" customHeight="1"/>
    <row r="248" s="37" customFormat="1" ht="15.75" customHeight="1"/>
    <row r="249" s="37" customFormat="1" ht="15.75" customHeight="1"/>
    <row r="250" s="37" customFormat="1" ht="15.75" customHeight="1"/>
    <row r="251" s="37" customFormat="1" ht="15.75" customHeight="1"/>
    <row r="252" s="37" customFormat="1" ht="15.75" customHeight="1"/>
    <row r="253" s="37" customFormat="1" ht="15.75" customHeight="1"/>
    <row r="254" s="37" customFormat="1" ht="15.75" customHeight="1"/>
    <row r="255" s="37" customFormat="1" ht="15.75" customHeight="1"/>
    <row r="256" s="37" customFormat="1" ht="15.75" customHeight="1"/>
    <row r="257" s="37" customFormat="1" ht="15.75" customHeight="1"/>
    <row r="258" s="37" customFormat="1" ht="15.75" customHeight="1"/>
    <row r="259" s="37" customFormat="1" ht="15.75" customHeight="1"/>
    <row r="260" s="37" customFormat="1" ht="15.75" customHeight="1"/>
    <row r="261" s="37" customFormat="1" ht="15.75" customHeight="1"/>
    <row r="262" s="37" customFormat="1" ht="15.75" customHeight="1"/>
    <row r="263" s="37" customFormat="1" ht="15.75" customHeight="1"/>
    <row r="264" s="37" customFormat="1" ht="15.75" customHeight="1"/>
    <row r="265" s="37" customFormat="1" ht="15.75" customHeight="1"/>
    <row r="266" s="37" customFormat="1" ht="15.75" customHeight="1"/>
    <row r="267" s="37" customFormat="1" ht="15.75" customHeight="1"/>
    <row r="268" s="37" customFormat="1" ht="15.75" customHeight="1"/>
    <row r="269" s="37" customFormat="1" ht="15.75" customHeight="1"/>
    <row r="270" s="37" customFormat="1" ht="15.75" customHeight="1"/>
    <row r="271" s="37" customFormat="1" ht="15.75" customHeight="1"/>
    <row r="272" s="37" customFormat="1" ht="15.75" customHeight="1"/>
    <row r="273" s="37" customFormat="1" ht="15.75" customHeight="1"/>
    <row r="274" s="37" customFormat="1" ht="15.75" customHeight="1"/>
    <row r="275" s="37" customFormat="1" ht="15.75" customHeight="1"/>
    <row r="276" s="37" customFormat="1" ht="15.75" customHeight="1"/>
    <row r="277" s="37" customFormat="1" ht="15.75" customHeight="1"/>
    <row r="278" s="37" customFormat="1" ht="15.75" customHeight="1"/>
    <row r="279" s="37" customFormat="1" ht="15.75" customHeight="1"/>
    <row r="280" s="37" customFormat="1" ht="15.75" customHeight="1"/>
    <row r="281" s="37" customFormat="1" ht="15.75" customHeight="1"/>
    <row r="282" s="37" customFormat="1" ht="15.75" customHeight="1"/>
    <row r="283" s="37" customFormat="1" ht="15.75" customHeight="1"/>
    <row r="284" s="37" customFormat="1" ht="15.75" customHeight="1"/>
    <row r="285" s="37" customFormat="1" ht="15.75" customHeight="1"/>
    <row r="286" s="37" customFormat="1" ht="15.75" customHeight="1"/>
    <row r="287" s="37" customFormat="1" ht="15.75" customHeight="1"/>
    <row r="288" s="37" customFormat="1" ht="15.75" customHeight="1"/>
    <row r="289" s="37" customFormat="1" ht="15.75" customHeight="1"/>
    <row r="290" s="37" customFormat="1" ht="15.75" customHeight="1"/>
    <row r="291" s="37" customFormat="1" ht="15.75" customHeight="1"/>
    <row r="292" s="37" customFormat="1" ht="15.75" customHeight="1"/>
    <row r="293" s="37" customFormat="1" ht="15.75" customHeight="1"/>
    <row r="294" s="37" customFormat="1" ht="15.75" customHeight="1"/>
    <row r="295" s="37" customFormat="1" ht="15.75" customHeight="1"/>
    <row r="296" s="37" customFormat="1" ht="15.75" customHeight="1"/>
    <row r="297" s="37" customFormat="1" ht="15.75" customHeight="1"/>
    <row r="298" s="37" customFormat="1" ht="15.75" customHeight="1"/>
    <row r="299" s="37" customFormat="1" ht="15.75" customHeight="1"/>
    <row r="300" s="37" customFormat="1" ht="15.75" customHeight="1"/>
    <row r="301" s="37" customFormat="1" ht="15.75" customHeight="1"/>
    <row r="302" s="37" customFormat="1" ht="15.75" customHeight="1"/>
    <row r="303" s="37" customFormat="1" ht="15.75" customHeight="1"/>
    <row r="304" s="37" customFormat="1" ht="15.75" customHeight="1"/>
    <row r="305" s="37" customFormat="1" ht="15.75" customHeight="1"/>
    <row r="306" s="37" customFormat="1" ht="15.75" customHeight="1"/>
    <row r="307" s="37" customFormat="1" ht="15.75" customHeight="1"/>
    <row r="308" s="37" customFormat="1" ht="15.75" customHeight="1"/>
    <row r="309" s="37" customFormat="1" ht="15.75" customHeight="1"/>
    <row r="310" s="37" customFormat="1" ht="15.75" customHeight="1"/>
    <row r="311" s="37" customFormat="1" ht="15.75" customHeight="1"/>
    <row r="312" s="37" customFormat="1" ht="15.75" customHeight="1"/>
    <row r="313" s="37" customFormat="1" ht="15.75" customHeight="1"/>
    <row r="314" s="37" customFormat="1" ht="15.75" customHeight="1"/>
    <row r="315" s="37" customFormat="1" ht="15.75" customHeight="1"/>
    <row r="316" s="37" customFormat="1" ht="15.75" customHeight="1"/>
    <row r="317" s="37" customFormat="1" ht="15.75" customHeight="1"/>
    <row r="318" s="37" customFormat="1" ht="15.75" customHeight="1"/>
    <row r="319" s="37" customFormat="1" ht="15.75" customHeight="1"/>
    <row r="320" s="37" customFormat="1" ht="15.75" customHeight="1"/>
    <row r="321" s="37" customFormat="1" ht="15.75" customHeight="1"/>
    <row r="322" s="37" customFormat="1" ht="15.75" customHeight="1"/>
    <row r="323" s="37" customFormat="1" ht="15.75" customHeight="1"/>
    <row r="324" s="37" customFormat="1" ht="15.75" customHeight="1"/>
    <row r="325" s="37" customFormat="1" ht="15.75" customHeight="1"/>
    <row r="326" s="37" customFormat="1" ht="15.75" customHeight="1"/>
    <row r="327" s="37" customFormat="1" ht="15.75" customHeight="1"/>
    <row r="328" s="37" customFormat="1" ht="15.75" customHeight="1"/>
    <row r="329" s="37" customFormat="1" ht="15.75" customHeight="1"/>
    <row r="330" s="37" customFormat="1" ht="15.75" customHeight="1"/>
    <row r="331" s="37" customFormat="1" ht="15.75" customHeight="1"/>
    <row r="332" s="37" customFormat="1" ht="15.75" customHeight="1"/>
    <row r="333" s="37" customFormat="1" ht="15.75" customHeight="1"/>
    <row r="334" s="37" customFormat="1" ht="15.75" customHeight="1"/>
    <row r="335" s="37" customFormat="1" ht="15.75" customHeight="1"/>
    <row r="336" s="37" customFormat="1" ht="15.75" customHeight="1"/>
    <row r="337" s="37" customFormat="1" ht="15.75" customHeight="1"/>
    <row r="338" s="37" customFormat="1" ht="15.75" customHeight="1"/>
    <row r="339" s="37" customFormat="1" ht="15.75" customHeight="1"/>
    <row r="340" s="37" customFormat="1" ht="15.75" customHeight="1"/>
    <row r="341" s="37" customFormat="1" ht="15.75" customHeight="1"/>
    <row r="342" s="37" customFormat="1" ht="15.75" customHeight="1"/>
    <row r="343" s="37" customFormat="1" ht="15.75" customHeight="1"/>
    <row r="344" s="37" customFormat="1" ht="15.75" customHeight="1"/>
    <row r="345" s="37" customFormat="1" ht="15.75" customHeight="1"/>
    <row r="346" s="37" customFormat="1" ht="15.75" customHeight="1"/>
    <row r="347" s="37" customFormat="1" ht="15.75" customHeight="1"/>
    <row r="348" s="37" customFormat="1" ht="15.75" customHeight="1"/>
    <row r="349" s="37" customFormat="1" ht="15.75" customHeight="1"/>
    <row r="350" s="37" customFormat="1" ht="15.75" customHeight="1"/>
    <row r="351" s="37" customFormat="1" ht="15.75" customHeight="1"/>
    <row r="352" s="37" customFormat="1" ht="15.75" customHeight="1"/>
    <row r="353" s="37" customFormat="1" ht="15.75" customHeight="1"/>
    <row r="354" s="37" customFormat="1" ht="15.75" customHeight="1"/>
    <row r="355" s="37" customFormat="1" ht="15.75" customHeight="1"/>
    <row r="356" s="37" customFormat="1" ht="15.75" customHeight="1"/>
    <row r="357" s="37" customFormat="1" ht="15.75" customHeight="1"/>
    <row r="358" s="37" customFormat="1" ht="15.75" customHeight="1"/>
    <row r="359" s="37" customFormat="1" ht="15.75" customHeight="1"/>
    <row r="360" s="37" customFormat="1" ht="15.75" customHeight="1"/>
    <row r="361" s="37" customFormat="1" ht="15.75" customHeight="1"/>
    <row r="362" s="37" customFormat="1" ht="15.75" customHeight="1"/>
    <row r="363" s="37" customFormat="1" ht="15.75" customHeight="1"/>
    <row r="364" s="37" customFormat="1" ht="15.75" customHeight="1"/>
    <row r="365" s="37" customFormat="1" ht="15.75" customHeight="1"/>
    <row r="366" s="37" customFormat="1" ht="15.75" customHeight="1"/>
    <row r="367" s="37" customFormat="1" ht="15.75" customHeight="1"/>
    <row r="368" s="37" customFormat="1" ht="15.75" customHeight="1"/>
    <row r="369" s="37" customFormat="1" ht="15.75" customHeight="1"/>
    <row r="370" s="37" customFormat="1" ht="15.75" customHeight="1"/>
    <row r="371" s="37" customFormat="1" ht="15.75" customHeight="1"/>
    <row r="372" s="37" customFormat="1" ht="15.75" customHeight="1"/>
    <row r="373" s="37" customFormat="1" ht="15.75" customHeight="1"/>
    <row r="374" s="37" customFormat="1" ht="15.75" customHeight="1"/>
    <row r="375" s="37" customFormat="1" ht="15.75" customHeight="1"/>
    <row r="376" s="37" customFormat="1" ht="15.75" customHeight="1"/>
    <row r="377" s="37" customFormat="1" ht="15.75" customHeight="1"/>
    <row r="378" s="37" customFormat="1" ht="15.75" customHeight="1"/>
    <row r="379" s="37" customFormat="1" ht="15.75" customHeight="1"/>
    <row r="380" s="37" customFormat="1" ht="15.75" customHeight="1"/>
    <row r="381" s="37" customFormat="1" ht="15.75" customHeight="1"/>
    <row r="382" s="37" customFormat="1" ht="15.75" customHeight="1"/>
    <row r="383" s="37" customFormat="1" ht="15.75" customHeight="1"/>
    <row r="384" s="37" customFormat="1" ht="15.75" customHeight="1"/>
    <row r="385" s="37" customFormat="1" ht="15.75" customHeight="1"/>
    <row r="386" s="37" customFormat="1" ht="15.75" customHeight="1"/>
    <row r="387" s="37" customFormat="1" ht="15.75" customHeight="1"/>
    <row r="388" s="37" customFormat="1" ht="15.75" customHeight="1"/>
    <row r="389" s="37" customFormat="1" ht="15.75" customHeight="1"/>
    <row r="390" s="37" customFormat="1" ht="15.75" customHeight="1"/>
    <row r="391" s="37" customFormat="1" ht="15.75" customHeight="1"/>
    <row r="392" s="37" customFormat="1" ht="15.75" customHeight="1"/>
    <row r="393" s="37" customFormat="1" ht="15.75" customHeight="1"/>
    <row r="394" s="37" customFormat="1" ht="15.75" customHeight="1"/>
    <row r="395" s="37" customFormat="1" ht="15.75" customHeight="1"/>
    <row r="396" s="37" customFormat="1" ht="15.75" customHeight="1"/>
    <row r="397" s="37" customFormat="1" ht="15.75" customHeight="1"/>
    <row r="398" s="37" customFormat="1" ht="15.75" customHeight="1"/>
    <row r="399" s="37" customFormat="1" ht="15.75" customHeight="1"/>
    <row r="400" s="37" customFormat="1" ht="15.75" customHeight="1"/>
    <row r="401" s="37" customFormat="1" ht="15.75" customHeight="1"/>
    <row r="402" s="37" customFormat="1" ht="15.75" customHeight="1"/>
    <row r="403" s="37" customFormat="1" ht="15.75" customHeight="1"/>
    <row r="404" s="37" customFormat="1" ht="15.75" customHeight="1"/>
    <row r="405" s="37" customFormat="1" ht="15.75" customHeight="1"/>
    <row r="406" s="37" customFormat="1" ht="15.75" customHeight="1"/>
    <row r="407" s="37" customFormat="1" ht="15.75" customHeight="1"/>
    <row r="408" s="37" customFormat="1" ht="15.75" customHeight="1"/>
    <row r="409" s="37" customFormat="1" ht="15.75" customHeight="1"/>
    <row r="410" s="37" customFormat="1" ht="15.75" customHeight="1"/>
    <row r="411" s="37" customFormat="1" ht="15.75" customHeight="1"/>
    <row r="412" s="37" customFormat="1" ht="15.75" customHeight="1"/>
    <row r="413" s="37" customFormat="1" ht="15.75" customHeight="1"/>
    <row r="414" s="37" customFormat="1" ht="15.75" customHeight="1"/>
    <row r="415" s="37" customFormat="1" ht="15.75" customHeight="1"/>
    <row r="416" s="37" customFormat="1" ht="15.75" customHeight="1"/>
    <row r="417" s="37" customFormat="1" ht="15.75" customHeight="1"/>
    <row r="418" s="37" customFormat="1" ht="15.75" customHeight="1"/>
    <row r="419" s="37" customFormat="1" ht="15.75" customHeight="1"/>
    <row r="420" s="37" customFormat="1" ht="15.75" customHeight="1"/>
    <row r="421" s="37" customFormat="1" ht="15.75" customHeight="1"/>
    <row r="422" s="37" customFormat="1" ht="15.75" customHeight="1"/>
    <row r="423" s="37" customFormat="1" ht="15.75" customHeight="1"/>
    <row r="424" s="37" customFormat="1" ht="15.75" customHeight="1"/>
    <row r="425" s="37" customFormat="1" ht="15.75" customHeight="1"/>
    <row r="426" s="37" customFormat="1" ht="15.75" customHeight="1"/>
    <row r="427" s="37" customFormat="1" ht="15.75" customHeight="1"/>
    <row r="428" s="37" customFormat="1" ht="15.75" customHeight="1"/>
    <row r="429" s="37" customFormat="1" ht="15.75" customHeight="1"/>
    <row r="430" s="37" customFormat="1" ht="15.75" customHeight="1"/>
    <row r="431" s="37" customFormat="1" ht="15.75" customHeight="1"/>
    <row r="432" s="37" customFormat="1" ht="15.75" customHeight="1"/>
    <row r="433" s="37" customFormat="1" ht="15.75" customHeight="1"/>
    <row r="434" s="37" customFormat="1" ht="15.75" customHeight="1"/>
    <row r="435" s="37" customFormat="1" ht="15.75" customHeight="1"/>
    <row r="436" s="37" customFormat="1" ht="15.75" customHeight="1"/>
    <row r="437" s="37" customFormat="1" ht="15.75" customHeight="1"/>
    <row r="438" s="37" customFormat="1" ht="15.75" customHeight="1"/>
    <row r="439" s="37" customFormat="1" ht="15.75" customHeight="1"/>
    <row r="440" s="37" customFormat="1" ht="15.75" customHeight="1"/>
    <row r="441" s="37" customFormat="1" ht="15.75" customHeight="1"/>
    <row r="442" s="37" customFormat="1" ht="15.75" customHeight="1"/>
    <row r="443" s="37" customFormat="1" ht="15.75" customHeight="1"/>
    <row r="444" s="37" customFormat="1" ht="15.75" customHeight="1"/>
    <row r="445" s="37" customFormat="1" ht="15.75" customHeight="1"/>
    <row r="446" s="37" customFormat="1" ht="15.75" customHeight="1"/>
    <row r="447" s="37" customFormat="1" ht="15.75" customHeight="1"/>
    <row r="448" s="37" customFormat="1" ht="15.75" customHeight="1"/>
    <row r="449" s="37" customFormat="1" ht="15.75" customHeight="1"/>
    <row r="450" s="37" customFormat="1" ht="15.75" customHeight="1"/>
    <row r="451" s="37" customFormat="1" ht="15.75" customHeight="1"/>
    <row r="452" s="37" customFormat="1" ht="15.75" customHeight="1"/>
    <row r="453" s="37" customFormat="1" ht="15.75" customHeight="1"/>
    <row r="454" s="37" customFormat="1" ht="15.75" customHeight="1"/>
    <row r="455" s="37" customFormat="1" ht="15.75" customHeight="1"/>
    <row r="456" s="37" customFormat="1" ht="15.75" customHeight="1"/>
    <row r="457" s="37" customFormat="1" ht="15.75" customHeight="1"/>
    <row r="458" s="37" customFormat="1" ht="15.75" customHeight="1"/>
    <row r="459" s="37" customFormat="1" ht="15.75" customHeight="1"/>
    <row r="460" s="37" customFormat="1" ht="15.75" customHeight="1"/>
    <row r="461" s="37" customFormat="1" ht="15.75" customHeight="1"/>
    <row r="462" s="37" customFormat="1" ht="15.75" customHeight="1"/>
    <row r="463" s="37" customFormat="1" ht="15.75" customHeight="1"/>
    <row r="464" s="37" customFormat="1" ht="15.75" customHeight="1"/>
    <row r="465" s="37" customFormat="1" ht="15.75" customHeight="1"/>
    <row r="466" s="37" customFormat="1" ht="15.75" customHeight="1"/>
    <row r="467" s="37" customFormat="1" ht="15.75" customHeight="1"/>
    <row r="468" s="37" customFormat="1" ht="15.75" customHeight="1"/>
    <row r="469" s="37" customFormat="1" ht="15.75" customHeight="1"/>
    <row r="470" s="37" customFormat="1" ht="15.75" customHeight="1"/>
    <row r="471" s="37" customFormat="1" ht="15.75" customHeight="1"/>
    <row r="472" s="37" customFormat="1" ht="15.75" customHeight="1"/>
    <row r="473" s="37" customFormat="1" ht="15.75" customHeight="1"/>
    <row r="474" s="37" customFormat="1" ht="15.75" customHeight="1"/>
    <row r="475" s="37" customFormat="1" ht="15.75" customHeight="1"/>
    <row r="476" s="37" customFormat="1" ht="15.75" customHeight="1"/>
    <row r="477" s="37" customFormat="1" ht="15.75" customHeight="1"/>
    <row r="478" s="37" customFormat="1" ht="15.75" customHeight="1"/>
    <row r="479" s="37" customFormat="1" ht="15.75" customHeight="1"/>
    <row r="480" s="37" customFormat="1" ht="15.75" customHeight="1"/>
    <row r="481" s="37" customFormat="1" ht="15.75" customHeight="1"/>
    <row r="482" s="37" customFormat="1" ht="15.75" customHeight="1"/>
    <row r="483" s="37" customFormat="1" ht="15.75" customHeight="1"/>
    <row r="484" s="37" customFormat="1" ht="15.75" customHeight="1"/>
    <row r="485" s="37" customFormat="1" ht="15.75" customHeight="1"/>
    <row r="486" s="37" customFormat="1" ht="15.75" customHeight="1"/>
    <row r="487" s="37" customFormat="1" ht="15.75" customHeight="1"/>
    <row r="488" s="37" customFormat="1" ht="15.75" customHeight="1"/>
    <row r="489" s="37" customFormat="1" ht="15.75" customHeight="1"/>
    <row r="490" s="37" customFormat="1" ht="15.75" customHeight="1"/>
    <row r="491" s="37" customFormat="1" ht="15.75" customHeight="1"/>
    <row r="492" s="37" customFormat="1" ht="15.75" customHeight="1"/>
    <row r="493" s="37" customFormat="1" ht="15.75" customHeight="1"/>
    <row r="494" s="37" customFormat="1" ht="15.75" customHeight="1"/>
    <row r="495" s="37" customFormat="1" ht="15.75" customHeight="1"/>
    <row r="496" s="37" customFormat="1" ht="15.75" customHeight="1"/>
    <row r="497" s="37" customFormat="1" ht="15.75" customHeight="1"/>
    <row r="498" s="37" customFormat="1" ht="15.75" customHeight="1"/>
    <row r="499" s="37" customFormat="1" ht="15.75" customHeight="1"/>
    <row r="500" s="37" customFormat="1" ht="15.75" customHeight="1"/>
    <row r="501" s="37" customFormat="1" ht="15.75" customHeight="1"/>
    <row r="502" s="37" customFormat="1" ht="15.75" customHeight="1"/>
    <row r="503" s="37" customFormat="1" ht="15.75" customHeight="1"/>
    <row r="504" s="37" customFormat="1" ht="15.75" customHeight="1"/>
    <row r="505" s="37" customFormat="1" ht="15.75" customHeight="1"/>
    <row r="506" s="37" customFormat="1" ht="15.75" customHeight="1"/>
    <row r="507" s="37" customFormat="1" ht="15.75" customHeight="1"/>
    <row r="508" s="37" customFormat="1" ht="15.75" customHeight="1"/>
    <row r="509" s="37" customFormat="1" ht="15.75" customHeight="1"/>
    <row r="510" s="37" customFormat="1" ht="15.75" customHeight="1"/>
    <row r="511" s="37" customFormat="1" ht="15.75" customHeight="1"/>
    <row r="512" s="37" customFormat="1" ht="15.75" customHeight="1"/>
    <row r="513" s="37" customFormat="1" ht="15.75" customHeight="1"/>
    <row r="514" s="37" customFormat="1" ht="15.75" customHeight="1"/>
    <row r="515" s="37" customFormat="1" ht="15.75" customHeight="1"/>
    <row r="516" s="37" customFormat="1" ht="15.75" customHeight="1"/>
    <row r="517" s="37" customFormat="1" ht="15.75" customHeight="1"/>
    <row r="518" s="37" customFormat="1" ht="15.75" customHeight="1"/>
    <row r="519" s="37" customFormat="1" ht="15.75" customHeight="1"/>
    <row r="520" s="37" customFormat="1" ht="15.75" customHeight="1"/>
    <row r="521" s="37" customFormat="1" ht="15.75" customHeight="1"/>
    <row r="522" s="37" customFormat="1" ht="15.75" customHeight="1"/>
    <row r="523" s="37" customFormat="1" ht="15.75" customHeight="1"/>
    <row r="524" s="37" customFormat="1" ht="15.75" customHeight="1"/>
    <row r="525" s="37" customFormat="1" ht="15.75" customHeight="1"/>
    <row r="526" s="37" customFormat="1" ht="15.75" customHeight="1"/>
    <row r="527" s="37" customFormat="1" ht="15.75" customHeight="1"/>
    <row r="528" s="37" customFormat="1" ht="15.75" customHeight="1"/>
    <row r="529" s="37" customFormat="1" ht="15.75" customHeight="1"/>
    <row r="530" s="37" customFormat="1" ht="15.75" customHeight="1"/>
    <row r="531" s="37" customFormat="1" ht="15.75" customHeight="1"/>
    <row r="532" s="37" customFormat="1" ht="15.75" customHeight="1"/>
    <row r="533" s="37" customFormat="1" ht="15.75" customHeight="1"/>
    <row r="534" s="37" customFormat="1" ht="15.75" customHeight="1"/>
    <row r="535" s="37" customFormat="1" ht="15.75" customHeight="1"/>
    <row r="536" s="37" customFormat="1" ht="15.75" customHeight="1"/>
    <row r="537" s="37" customFormat="1" ht="15.75" customHeight="1"/>
    <row r="538" s="37" customFormat="1" ht="15.75" customHeight="1"/>
    <row r="539" s="37" customFormat="1" ht="15.75" customHeight="1"/>
    <row r="540" s="37" customFormat="1" ht="15.75" customHeight="1"/>
    <row r="541" s="37" customFormat="1" ht="15.75" customHeight="1"/>
    <row r="542" s="37" customFormat="1" ht="15.75" customHeight="1"/>
    <row r="543" s="37" customFormat="1" ht="15.75" customHeight="1"/>
    <row r="544" s="37" customFormat="1" ht="15.75" customHeight="1"/>
    <row r="545" s="37" customFormat="1" ht="15.75" customHeight="1"/>
    <row r="546" s="37" customFormat="1" ht="15.75" customHeight="1"/>
    <row r="547" s="37" customFormat="1" ht="15.75" customHeight="1"/>
    <row r="548" s="37" customFormat="1" ht="15.75" customHeight="1"/>
    <row r="549" s="37" customFormat="1" ht="15.75" customHeight="1"/>
    <row r="550" s="37" customFormat="1" ht="15.75" customHeight="1"/>
    <row r="551" s="37" customFormat="1" ht="15.75" customHeight="1"/>
    <row r="552" s="37" customFormat="1" ht="15.75" customHeight="1"/>
    <row r="553" s="37" customFormat="1" ht="15.75" customHeight="1"/>
    <row r="554" s="37" customFormat="1" ht="15.75" customHeight="1"/>
    <row r="555" s="37" customFormat="1" ht="15.75" customHeight="1"/>
    <row r="556" s="37" customFormat="1" ht="15.75" customHeight="1"/>
    <row r="557" s="37" customFormat="1" ht="15.75" customHeight="1"/>
    <row r="558" s="37" customFormat="1" ht="15.75" customHeight="1"/>
    <row r="559" s="37" customFormat="1" ht="15.75" customHeight="1"/>
    <row r="560" s="37" customFormat="1" ht="15.75" customHeight="1"/>
    <row r="561" s="37" customFormat="1" ht="15.75" customHeight="1"/>
    <row r="562" s="37" customFormat="1" ht="15.75" customHeight="1"/>
    <row r="563" s="37" customFormat="1" ht="15.75" customHeight="1"/>
    <row r="564" s="37" customFormat="1" ht="15.75" customHeight="1"/>
    <row r="565" s="37" customFormat="1" ht="15.75" customHeight="1"/>
    <row r="566" s="37" customFormat="1" ht="15.75" customHeight="1"/>
    <row r="567" s="37" customFormat="1" ht="15.75" customHeight="1"/>
    <row r="568" s="37" customFormat="1" ht="15.75" customHeight="1"/>
    <row r="569" s="37" customFormat="1" ht="15.75" customHeight="1"/>
    <row r="570" s="37" customFormat="1" ht="15.75" customHeight="1"/>
    <row r="571" s="37" customFormat="1" ht="15.75" customHeight="1"/>
    <row r="572" s="37" customFormat="1" ht="15.75" customHeight="1"/>
    <row r="573" s="37" customFormat="1" ht="15.75" customHeight="1"/>
    <row r="574" s="37" customFormat="1" ht="15.75" customHeight="1"/>
    <row r="575" s="37" customFormat="1" ht="15.75" customHeight="1"/>
    <row r="576" s="37" customFormat="1" ht="15.75" customHeight="1"/>
    <row r="577" s="37" customFormat="1" ht="15.75" customHeight="1"/>
    <row r="578" s="37" customFormat="1" ht="15.75" customHeight="1"/>
    <row r="579" s="37" customFormat="1" ht="15.75" customHeight="1"/>
    <row r="580" s="37" customFormat="1" ht="15.75" customHeight="1"/>
    <row r="581" s="37" customFormat="1" ht="15.75" customHeight="1"/>
    <row r="582" s="37" customFormat="1" ht="15.75" customHeight="1"/>
    <row r="583" s="37" customFormat="1" ht="15.75" customHeight="1"/>
    <row r="584" s="37" customFormat="1" ht="15.75" customHeight="1"/>
    <row r="585" s="37" customFormat="1" ht="15.75" customHeight="1"/>
    <row r="586" s="37" customFormat="1" ht="15.75" customHeight="1"/>
    <row r="587" s="37" customFormat="1" ht="15.75" customHeight="1"/>
    <row r="588" s="37" customFormat="1" ht="15.75" customHeight="1"/>
    <row r="589" s="37" customFormat="1" ht="15.75" customHeight="1"/>
    <row r="590" s="37" customFormat="1" ht="15.75" customHeight="1"/>
    <row r="591" s="37" customFormat="1" ht="15.75" customHeight="1"/>
    <row r="592" s="37" customFormat="1" ht="15.75" customHeight="1"/>
    <row r="593" s="37" customFormat="1" ht="15.75" customHeight="1"/>
    <row r="594" s="37" customFormat="1" ht="15.75" customHeight="1"/>
    <row r="595" s="37" customFormat="1" ht="15.75" customHeight="1"/>
    <row r="596" s="37" customFormat="1" ht="15.75" customHeight="1"/>
    <row r="597" s="37" customFormat="1" ht="15.75" customHeight="1"/>
    <row r="598" s="37" customFormat="1" ht="15.75" customHeight="1"/>
    <row r="599" s="37" customFormat="1" ht="15.75" customHeight="1"/>
    <row r="600" s="37" customFormat="1" ht="15.75" customHeight="1"/>
    <row r="601" s="37" customFormat="1" ht="15.75" customHeight="1"/>
    <row r="602" s="37" customFormat="1" ht="15.75" customHeight="1"/>
    <row r="603" s="37" customFormat="1" ht="15.75" customHeight="1"/>
    <row r="604" s="37" customFormat="1" ht="15.75" customHeight="1"/>
    <row r="605" s="37" customFormat="1" ht="15.75" customHeight="1"/>
    <row r="606" s="37" customFormat="1" ht="15.75" customHeight="1"/>
    <row r="607" s="37" customFormat="1" ht="15.75" customHeight="1"/>
    <row r="608" s="37" customFormat="1" ht="15.75" customHeight="1"/>
    <row r="609" s="37" customFormat="1" ht="15.75" customHeight="1"/>
    <row r="610" s="37" customFormat="1" ht="15.75" customHeight="1"/>
    <row r="611" s="37" customFormat="1" ht="15.75" customHeight="1"/>
    <row r="612" s="37" customFormat="1" ht="15.75" customHeight="1"/>
    <row r="613" s="37" customFormat="1" ht="15.75" customHeight="1"/>
    <row r="614" s="37" customFormat="1" ht="15.75" customHeight="1"/>
    <row r="615" s="37" customFormat="1" ht="15.75" customHeight="1"/>
    <row r="616" s="37" customFormat="1" ht="15.75" customHeight="1"/>
    <row r="617" s="37" customFormat="1" ht="15.75" customHeight="1"/>
    <row r="618" s="37" customFormat="1" ht="15.75" customHeight="1"/>
    <row r="619" s="37" customFormat="1" ht="15.75" customHeight="1"/>
    <row r="620" s="37" customFormat="1" ht="15.75" customHeight="1"/>
    <row r="621" s="37" customFormat="1" ht="15.75" customHeight="1"/>
    <row r="622" s="37" customFormat="1" ht="15.75" customHeight="1"/>
    <row r="623" s="37" customFormat="1" ht="15.75" customHeight="1"/>
    <row r="624" s="37" customFormat="1" ht="15.75" customHeight="1"/>
    <row r="625" s="37" customFormat="1" ht="15.75" customHeight="1"/>
    <row r="626" s="37" customFormat="1" ht="15.75" customHeight="1"/>
    <row r="627" s="37" customFormat="1" ht="15.75" customHeight="1"/>
    <row r="628" s="37" customFormat="1" ht="15.75" customHeight="1"/>
    <row r="629" s="37" customFormat="1" ht="15.75" customHeight="1"/>
    <row r="630" s="37" customFormat="1" ht="15.75" customHeight="1"/>
    <row r="631" s="37" customFormat="1" ht="15.75" customHeight="1"/>
    <row r="632" s="37" customFormat="1" ht="15.75" customHeight="1"/>
    <row r="633" s="37" customFormat="1" ht="15.75" customHeight="1"/>
    <row r="634" s="37" customFormat="1" ht="15.75" customHeight="1"/>
    <row r="635" s="37" customFormat="1" ht="15.75" customHeight="1"/>
    <row r="636" s="37" customFormat="1" ht="15.75" customHeight="1"/>
    <row r="637" s="37" customFormat="1" ht="15.75" customHeight="1"/>
    <row r="638" s="37" customFormat="1" ht="15.75" customHeight="1"/>
    <row r="639" s="37" customFormat="1" ht="15.75" customHeight="1"/>
    <row r="640" s="37" customFormat="1" ht="15.75" customHeight="1"/>
    <row r="641" s="37" customFormat="1" ht="15.75" customHeight="1"/>
    <row r="642" s="37" customFormat="1" ht="15.75" customHeight="1"/>
    <row r="643" s="37" customFormat="1" ht="15.75" customHeight="1"/>
    <row r="644" s="37" customFormat="1" ht="15.75" customHeight="1"/>
    <row r="645" s="37" customFormat="1" ht="15.75" customHeight="1"/>
    <row r="646" s="37" customFormat="1" ht="15.75" customHeight="1"/>
    <row r="647" s="37" customFormat="1" ht="15.75" customHeight="1"/>
    <row r="648" s="37" customFormat="1" ht="15.75" customHeight="1"/>
    <row r="649" s="37" customFormat="1" ht="15.75" customHeight="1"/>
    <row r="650" s="37" customFormat="1" ht="15.75" customHeight="1"/>
    <row r="651" s="37" customFormat="1" ht="15.75" customHeight="1"/>
    <row r="652" s="37" customFormat="1" ht="15.75" customHeight="1"/>
    <row r="653" s="37" customFormat="1" ht="15.75" customHeight="1"/>
    <row r="654" s="37" customFormat="1" ht="15.75" customHeight="1"/>
    <row r="655" s="37" customFormat="1" ht="15.75" customHeight="1"/>
    <row r="656" s="37" customFormat="1" ht="15.75" customHeight="1"/>
    <row r="657" s="37" customFormat="1" ht="15.75" customHeight="1"/>
    <row r="658" s="37" customFormat="1" ht="15.75" customHeight="1"/>
    <row r="659" s="37" customFormat="1" ht="15.75" customHeight="1"/>
    <row r="660" s="37" customFormat="1" ht="15.75" customHeight="1"/>
    <row r="661" s="37" customFormat="1" ht="15.75" customHeight="1"/>
    <row r="662" s="37" customFormat="1" ht="15.75" customHeight="1"/>
    <row r="663" s="37" customFormat="1" ht="15.75" customHeight="1"/>
    <row r="664" s="37" customFormat="1" ht="15.75" customHeight="1"/>
    <row r="665" s="37" customFormat="1" ht="15.75" customHeight="1"/>
    <row r="666" s="37" customFormat="1" ht="15.75" customHeight="1"/>
    <row r="667" s="37" customFormat="1" ht="15.75" customHeight="1"/>
    <row r="668" s="37" customFormat="1" ht="15.75" customHeight="1"/>
    <row r="669" s="37" customFormat="1" ht="15.75" customHeight="1"/>
    <row r="670" s="37" customFormat="1" ht="15.75" customHeight="1"/>
    <row r="671" s="37" customFormat="1" ht="15.75" customHeight="1"/>
    <row r="672" s="37" customFormat="1" ht="15.75" customHeight="1"/>
    <row r="673" s="37" customFormat="1" ht="15.75" customHeight="1"/>
    <row r="674" s="37" customFormat="1" ht="15.75" customHeight="1"/>
    <row r="675" s="37" customFormat="1" ht="15.75" customHeight="1"/>
    <row r="676" s="37" customFormat="1" ht="15.75" customHeight="1"/>
    <row r="677" s="37" customFormat="1" ht="15.75" customHeight="1"/>
    <row r="678" s="37" customFormat="1" ht="15.75" customHeight="1"/>
    <row r="679" s="37" customFormat="1" ht="15.75" customHeight="1"/>
    <row r="680" s="37" customFormat="1" ht="15.75" customHeight="1"/>
    <row r="681" s="37" customFormat="1" ht="15.75" customHeight="1"/>
    <row r="682" s="37" customFormat="1" ht="15.75" customHeight="1"/>
    <row r="683" s="37" customFormat="1" ht="15.75" customHeight="1"/>
    <row r="684" s="37" customFormat="1" ht="15.75" customHeight="1"/>
    <row r="685" s="37" customFormat="1" ht="15.75" customHeight="1"/>
    <row r="686" s="37" customFormat="1" ht="15.75" customHeight="1"/>
    <row r="687" s="37" customFormat="1" ht="15.75" customHeight="1"/>
    <row r="688" s="37" customFormat="1" ht="15.75" customHeight="1"/>
    <row r="689" s="37" customFormat="1" ht="15.75" customHeight="1"/>
    <row r="690" s="37" customFormat="1" ht="15.75" customHeight="1"/>
    <row r="691" s="37" customFormat="1" ht="15.75" customHeight="1"/>
    <row r="692" s="37" customFormat="1" ht="15.75" customHeight="1"/>
    <row r="693" s="37" customFormat="1" ht="15.75" customHeight="1"/>
    <row r="694" s="37" customFormat="1" ht="15.75" customHeight="1"/>
    <row r="695" s="37" customFormat="1" ht="15.75" customHeight="1"/>
    <row r="696" s="37" customFormat="1" ht="15.75" customHeight="1"/>
    <row r="697" s="37" customFormat="1" ht="15.75" customHeight="1"/>
    <row r="698" s="37" customFormat="1" ht="15.75" customHeight="1"/>
    <row r="699" s="37" customFormat="1" ht="15.75" customHeight="1"/>
    <row r="700" s="37" customFormat="1" ht="15.75" customHeight="1"/>
    <row r="701" s="37" customFormat="1" ht="15.75" customHeight="1"/>
    <row r="702" s="37" customFormat="1" ht="15.75" customHeight="1"/>
    <row r="703" s="37" customFormat="1" ht="15.75" customHeight="1"/>
    <row r="704" s="37" customFormat="1" ht="15.75" customHeight="1"/>
    <row r="705" s="37" customFormat="1" ht="15.75" customHeight="1"/>
    <row r="706" s="37" customFormat="1" ht="15.75" customHeight="1"/>
    <row r="707" s="37" customFormat="1" ht="15.75" customHeight="1"/>
    <row r="708" s="37" customFormat="1" ht="15.75" customHeight="1"/>
    <row r="709" s="37" customFormat="1" ht="15.75" customHeight="1"/>
    <row r="710" s="37" customFormat="1" ht="15.75" customHeight="1"/>
    <row r="711" s="37" customFormat="1" ht="15.75" customHeight="1"/>
    <row r="712" s="37" customFormat="1" ht="15.75" customHeight="1"/>
    <row r="713" s="37" customFormat="1" ht="15.75" customHeight="1"/>
    <row r="714" s="37" customFormat="1" ht="15.75" customHeight="1"/>
    <row r="715" s="37" customFormat="1" ht="15.75" customHeight="1"/>
    <row r="716" s="37" customFormat="1" ht="15.75" customHeight="1"/>
    <row r="717" s="37" customFormat="1" ht="15.75" customHeight="1"/>
    <row r="718" s="37" customFormat="1" ht="15.75" customHeight="1"/>
    <row r="719" s="37" customFormat="1" ht="15.75" customHeight="1"/>
    <row r="720" s="37" customFormat="1" ht="15.75" customHeight="1"/>
    <row r="721" s="37" customFormat="1" ht="15.75" customHeight="1"/>
    <row r="722" s="37" customFormat="1" ht="15.75" customHeight="1"/>
    <row r="723" s="37" customFormat="1" ht="15.75" customHeight="1"/>
    <row r="724" s="37" customFormat="1" ht="15.75" customHeight="1"/>
    <row r="725" s="37" customFormat="1" ht="15.75" customHeight="1"/>
    <row r="726" s="37" customFormat="1" ht="15.75" customHeight="1"/>
    <row r="727" s="37" customFormat="1" ht="15.75" customHeight="1"/>
    <row r="728" s="37" customFormat="1" ht="15.75" customHeight="1"/>
    <row r="729" s="37" customFormat="1" ht="15.75" customHeight="1"/>
    <row r="730" s="37" customFormat="1" ht="15.75" customHeight="1"/>
    <row r="731" s="37" customFormat="1" ht="15.75" customHeight="1"/>
    <row r="732" s="37" customFormat="1" ht="15.75" customHeight="1"/>
    <row r="733" s="37" customFormat="1" ht="15.75" customHeight="1"/>
    <row r="734" s="37" customFormat="1" ht="15.75" customHeight="1"/>
    <row r="735" s="37" customFormat="1" ht="15.75" customHeight="1"/>
    <row r="736" s="37" customFormat="1" ht="15.75" customHeight="1"/>
    <row r="737" s="37" customFormat="1" ht="15.75" customHeight="1"/>
    <row r="738" s="37" customFormat="1" ht="15.75" customHeight="1"/>
    <row r="739" s="37" customFormat="1" ht="15.75" customHeight="1"/>
    <row r="740" s="37" customFormat="1" ht="15.75" customHeight="1"/>
    <row r="741" s="37" customFormat="1" ht="15.75" customHeight="1"/>
    <row r="742" s="37" customFormat="1" ht="15.75" customHeight="1"/>
    <row r="743" s="37" customFormat="1" ht="15.75" customHeight="1"/>
    <row r="744" s="37" customFormat="1" ht="15.75" customHeight="1"/>
    <row r="745" s="37" customFormat="1" ht="15.75" customHeight="1"/>
    <row r="746" s="37" customFormat="1" ht="15.75" customHeight="1"/>
    <row r="747" s="37" customFormat="1" ht="15.75" customHeight="1"/>
    <row r="748" s="37" customFormat="1" ht="15.75" customHeight="1"/>
    <row r="749" s="37" customFormat="1" ht="15.75" customHeight="1"/>
    <row r="750" s="37" customFormat="1" ht="15.75" customHeight="1"/>
    <row r="751" s="37" customFormat="1" ht="15.75" customHeight="1"/>
    <row r="752" s="37" customFormat="1" ht="15.75" customHeight="1"/>
    <row r="753" s="37" customFormat="1" ht="15.75" customHeight="1"/>
    <row r="754" s="37" customFormat="1" ht="15.75" customHeight="1"/>
    <row r="755" s="37" customFormat="1" ht="15.75" customHeight="1"/>
    <row r="756" s="37" customFormat="1" ht="15.75" customHeight="1"/>
    <row r="757" s="37" customFormat="1" ht="15.75" customHeight="1"/>
    <row r="758" s="37" customFormat="1" ht="15.75" customHeight="1"/>
    <row r="759" s="37" customFormat="1" ht="15.75" customHeight="1"/>
    <row r="760" s="37" customFormat="1" ht="15.75" customHeight="1"/>
    <row r="761" s="37" customFormat="1" ht="15.75" customHeight="1"/>
    <row r="762" s="37" customFormat="1" ht="15.75" customHeight="1"/>
    <row r="763" s="37" customFormat="1" ht="15.75" customHeight="1"/>
    <row r="764" s="37" customFormat="1" ht="15.75" customHeight="1"/>
    <row r="765" s="37" customFormat="1" ht="15.75" customHeight="1"/>
    <row r="766" s="37" customFormat="1" ht="15.75" customHeight="1"/>
    <row r="767" s="37" customFormat="1" ht="15.75" customHeight="1"/>
    <row r="768" s="37" customFormat="1" ht="15.75" customHeight="1"/>
    <row r="769" s="37" customFormat="1" ht="15.75" customHeight="1"/>
    <row r="770" s="37" customFormat="1" ht="15.75" customHeight="1"/>
    <row r="771" s="37" customFormat="1" ht="15.75" customHeight="1"/>
    <row r="772" s="37" customFormat="1" ht="15.75" customHeight="1"/>
    <row r="773" s="37" customFormat="1" ht="15.75" customHeight="1"/>
    <row r="774" s="37" customFormat="1" ht="15.75" customHeight="1"/>
    <row r="775" s="37" customFormat="1" ht="15.75" customHeight="1"/>
    <row r="776" s="37" customFormat="1" ht="15.75" customHeight="1"/>
    <row r="777" s="37" customFormat="1" ht="15.75" customHeight="1"/>
    <row r="778" s="37" customFormat="1" ht="15.75" customHeight="1"/>
    <row r="779" s="37" customFormat="1" ht="15.75" customHeight="1"/>
    <row r="780" s="37" customFormat="1" ht="15.75" customHeight="1"/>
    <row r="781" s="37" customFormat="1" ht="15.75" customHeight="1"/>
    <row r="782" s="37" customFormat="1" ht="15.75" customHeight="1"/>
    <row r="783" s="37" customFormat="1" ht="15.75" customHeight="1"/>
    <row r="784" s="37" customFormat="1" ht="15.75" customHeight="1"/>
    <row r="785" s="37" customFormat="1" ht="15.75" customHeight="1"/>
    <row r="786" s="37" customFormat="1" ht="15.75" customHeight="1"/>
    <row r="787" s="37" customFormat="1" ht="15.75" customHeight="1"/>
    <row r="788" s="37" customFormat="1" ht="15.75" customHeight="1"/>
    <row r="789" s="37" customFormat="1" ht="15.75" customHeight="1"/>
    <row r="790" s="37" customFormat="1" ht="15.75" customHeight="1"/>
    <row r="791" s="37" customFormat="1" ht="15.75" customHeight="1"/>
    <row r="792" s="37" customFormat="1" ht="15.75" customHeight="1"/>
    <row r="793" s="37" customFormat="1" ht="15.75" customHeight="1"/>
    <row r="794" s="37" customFormat="1" ht="15.75" customHeight="1"/>
    <row r="795" s="37" customFormat="1" ht="15.75" customHeight="1"/>
    <row r="796" s="37" customFormat="1" ht="15.75" customHeight="1"/>
    <row r="797" s="37" customFormat="1" ht="15.75" customHeight="1"/>
    <row r="798" s="37" customFormat="1" ht="15.75" customHeight="1"/>
    <row r="799" s="37" customFormat="1" ht="15.75" customHeight="1"/>
    <row r="800" s="37" customFormat="1" ht="15.75" customHeight="1"/>
    <row r="801" s="37" customFormat="1" ht="15.75" customHeight="1"/>
    <row r="802" s="37" customFormat="1" ht="15.75" customHeight="1"/>
    <row r="803" s="37" customFormat="1" ht="15.75" customHeight="1"/>
    <row r="804" s="37" customFormat="1" ht="15.75" customHeight="1"/>
    <row r="805" s="37" customFormat="1" ht="15.75" customHeight="1"/>
    <row r="806" s="37" customFormat="1" ht="15.75" customHeight="1"/>
    <row r="807" s="37" customFormat="1" ht="15.75" customHeight="1"/>
    <row r="808" s="37" customFormat="1" ht="15.75" customHeight="1"/>
    <row r="809" s="37" customFormat="1" ht="15.75" customHeight="1"/>
    <row r="810" s="37" customFormat="1" ht="15.75" customHeight="1"/>
    <row r="811" s="37" customFormat="1" ht="15.75" customHeight="1"/>
    <row r="812" s="37" customFormat="1" ht="15.75" customHeight="1"/>
    <row r="813" s="37" customFormat="1" ht="15.75" customHeight="1"/>
    <row r="814" s="37" customFormat="1" ht="15.75" customHeight="1"/>
    <row r="815" s="37" customFormat="1" ht="15.75" customHeight="1"/>
    <row r="816" s="37" customFormat="1" ht="15.75" customHeight="1"/>
    <row r="817" s="37" customFormat="1" ht="15.75" customHeight="1"/>
    <row r="818" s="37" customFormat="1" ht="15.75" customHeight="1"/>
    <row r="819" s="37" customFormat="1" ht="15.75" customHeight="1"/>
    <row r="820" s="37" customFormat="1" ht="15.75" customHeight="1"/>
    <row r="821" s="37" customFormat="1" ht="15.75" customHeight="1"/>
    <row r="822" s="37" customFormat="1" ht="15.75" customHeight="1"/>
    <row r="823" s="37" customFormat="1" ht="15.75" customHeight="1"/>
    <row r="824" s="37" customFormat="1" ht="15.75" customHeight="1"/>
    <row r="825" s="37" customFormat="1" ht="15.75" customHeight="1"/>
    <row r="826" s="37" customFormat="1" ht="15.75" customHeight="1"/>
    <row r="827" s="37" customFormat="1" ht="15.75" customHeight="1"/>
    <row r="828" s="37" customFormat="1" ht="15.75" customHeight="1"/>
    <row r="829" s="37" customFormat="1" ht="15.75" customHeight="1"/>
    <row r="830" s="37" customFormat="1" ht="15.75" customHeight="1"/>
    <row r="831" s="37" customFormat="1" ht="15.75" customHeight="1"/>
    <row r="832" s="37" customFormat="1" ht="15.75" customHeight="1"/>
    <row r="833" s="37" customFormat="1" ht="15.75" customHeight="1"/>
    <row r="834" s="37" customFormat="1" ht="15.75" customHeight="1"/>
    <row r="835" s="37" customFormat="1" ht="15.75" customHeight="1"/>
    <row r="836" s="37" customFormat="1" ht="15.75" customHeight="1"/>
    <row r="837" s="37" customFormat="1" ht="15.75" customHeight="1"/>
    <row r="838" s="37" customFormat="1" ht="15.75" customHeight="1"/>
    <row r="839" s="37" customFormat="1" ht="15.75" customHeight="1"/>
    <row r="840" s="37" customFormat="1" ht="15.75" customHeight="1"/>
    <row r="841" s="37" customFormat="1" ht="15.75" customHeight="1"/>
    <row r="842" s="37" customFormat="1" ht="15.75" customHeight="1"/>
    <row r="843" s="37" customFormat="1" ht="15.75" customHeight="1"/>
    <row r="844" s="37" customFormat="1" ht="15.75" customHeight="1"/>
    <row r="845" s="37" customFormat="1" ht="15.75" customHeight="1"/>
    <row r="846" s="37" customFormat="1" ht="15.75" customHeight="1"/>
    <row r="847" s="37" customFormat="1" ht="15.75" customHeight="1"/>
    <row r="848" s="37" customFormat="1" ht="15.75" customHeight="1"/>
    <row r="849" s="37" customFormat="1" ht="15.75" customHeight="1"/>
    <row r="850" s="37" customFormat="1" ht="15.75" customHeight="1"/>
    <row r="851" s="37" customFormat="1" ht="15.75" customHeight="1"/>
    <row r="852" s="37" customFormat="1" ht="15.75" customHeight="1"/>
    <row r="853" s="37" customFormat="1" ht="15.75" customHeight="1"/>
    <row r="854" s="37" customFormat="1" ht="15.75" customHeight="1"/>
    <row r="855" s="37" customFormat="1" ht="15.75" customHeight="1"/>
    <row r="856" s="37" customFormat="1" ht="15.75" customHeight="1"/>
    <row r="857" s="37" customFormat="1" ht="15.75" customHeight="1"/>
    <row r="858" s="37" customFormat="1" ht="15.75" customHeight="1"/>
    <row r="859" s="37" customFormat="1" ht="15.75" customHeight="1"/>
    <row r="860" s="37" customFormat="1" ht="15.75" customHeight="1"/>
    <row r="861" s="37" customFormat="1" ht="15.75" customHeight="1"/>
    <row r="862" s="37" customFormat="1" ht="15.75" customHeight="1"/>
    <row r="863" s="37" customFormat="1" ht="15.75" customHeight="1"/>
    <row r="864" s="37" customFormat="1" ht="15.75" customHeight="1"/>
    <row r="865" s="37" customFormat="1" ht="15.75" customHeight="1"/>
    <row r="866" s="37" customFormat="1" ht="15.75" customHeight="1"/>
    <row r="867" s="37" customFormat="1" ht="15.75" customHeight="1"/>
    <row r="868" s="37" customFormat="1" ht="15.75" customHeight="1"/>
    <row r="869" s="37" customFormat="1" ht="15.75" customHeight="1"/>
    <row r="870" s="37" customFormat="1" ht="15.75" customHeight="1"/>
    <row r="871" s="37" customFormat="1" ht="15.75" customHeight="1"/>
    <row r="872" s="37" customFormat="1" ht="15.75" customHeight="1"/>
    <row r="873" s="37" customFormat="1" ht="15.75" customHeight="1"/>
    <row r="874" s="37" customFormat="1" ht="15.75" customHeight="1"/>
    <row r="875" s="37" customFormat="1" ht="15.75" customHeight="1"/>
    <row r="876" s="37" customFormat="1" ht="15.75" customHeight="1"/>
    <row r="877" s="37" customFormat="1" ht="15.75" customHeight="1"/>
    <row r="878" s="37" customFormat="1" ht="15.75" customHeight="1"/>
    <row r="879" s="37" customFormat="1" ht="15.75" customHeight="1"/>
    <row r="880" s="37" customFormat="1" ht="15.75" customHeight="1"/>
    <row r="881" s="37" customFormat="1" ht="15.75" customHeight="1"/>
    <row r="882" s="37" customFormat="1" ht="15.75" customHeight="1"/>
    <row r="883" s="37" customFormat="1" ht="15.75" customHeight="1"/>
    <row r="884" s="37" customFormat="1" ht="15.75" customHeight="1"/>
    <row r="885" s="37" customFormat="1" ht="15.75" customHeight="1"/>
    <row r="886" s="37" customFormat="1" ht="15.75" customHeight="1"/>
    <row r="887" s="37" customFormat="1" ht="15.75" customHeight="1"/>
    <row r="888" s="37" customFormat="1" ht="15.75" customHeight="1"/>
    <row r="889" s="37" customFormat="1" ht="15.75" customHeight="1"/>
    <row r="890" s="37" customFormat="1" ht="15.75" customHeight="1"/>
    <row r="891" s="37" customFormat="1" ht="15.75" customHeight="1"/>
    <row r="892" s="37" customFormat="1" ht="15.75" customHeight="1"/>
    <row r="893" s="37" customFormat="1" ht="15.75" customHeight="1"/>
    <row r="894" s="37" customFormat="1" ht="15.75" customHeight="1"/>
    <row r="895" s="37" customFormat="1" ht="15.75" customHeight="1"/>
    <row r="896" s="37" customFormat="1" ht="15.75" customHeight="1"/>
    <row r="897" s="37" customFormat="1" ht="15.75" customHeight="1"/>
    <row r="898" s="37" customFormat="1" ht="15.75" customHeight="1"/>
    <row r="899" s="37" customFormat="1" ht="15.75" customHeight="1"/>
    <row r="900" s="37" customFormat="1" ht="15.75" customHeight="1"/>
    <row r="901" s="37" customFormat="1" ht="15.75" customHeight="1"/>
    <row r="902" s="37" customFormat="1" ht="15.75" customHeight="1"/>
    <row r="903" s="37" customFormat="1" ht="15.75" customHeight="1"/>
    <row r="904" s="37" customFormat="1" ht="15.75" customHeight="1"/>
    <row r="905" s="37" customFormat="1" ht="15.75" customHeight="1"/>
    <row r="906" s="37" customFormat="1" ht="15.75" customHeight="1"/>
    <row r="907" s="37" customFormat="1" ht="15.75" customHeight="1"/>
    <row r="908" s="37" customFormat="1" ht="15.75" customHeight="1"/>
    <row r="909" s="37" customFormat="1" ht="15.75" customHeight="1"/>
    <row r="910" s="37" customFormat="1" ht="15.75" customHeight="1"/>
    <row r="911" s="37" customFormat="1" ht="15.75" customHeight="1"/>
    <row r="912" s="37" customFormat="1" ht="15.75" customHeight="1"/>
    <row r="913" s="37" customFormat="1" ht="15.75" customHeight="1"/>
    <row r="914" s="37" customFormat="1" ht="15.75" customHeight="1"/>
    <row r="915" s="37" customFormat="1" ht="15.75" customHeight="1"/>
    <row r="916" s="37" customFormat="1" ht="15.75" customHeight="1"/>
    <row r="917" s="37" customFormat="1" ht="15.75" customHeight="1"/>
    <row r="918" s="37" customFormat="1" ht="15.75" customHeight="1"/>
    <row r="919" s="37" customFormat="1" ht="15.75" customHeight="1"/>
    <row r="920" s="37" customFormat="1" ht="15.75" customHeight="1"/>
    <row r="921" s="37" customFormat="1" ht="15.75" customHeight="1"/>
    <row r="922" s="37" customFormat="1" ht="15.75" customHeight="1"/>
    <row r="923" s="37" customFormat="1" ht="15.75" customHeight="1"/>
    <row r="924" s="37" customFormat="1" ht="15.75" customHeight="1"/>
    <row r="925" s="37" customFormat="1" ht="15.75" customHeight="1"/>
    <row r="926" s="37" customFormat="1" ht="15.75" customHeight="1"/>
    <row r="927" s="37" customFormat="1" ht="15.75" customHeight="1"/>
    <row r="928" s="37" customFormat="1" ht="15.75" customHeight="1"/>
    <row r="929" s="37" customFormat="1" ht="15.75" customHeight="1"/>
    <row r="930" s="37" customFormat="1" ht="15.75" customHeight="1"/>
    <row r="931" s="37" customFormat="1" ht="15.75" customHeight="1"/>
    <row r="932" s="37" customFormat="1" ht="15.75" customHeight="1"/>
    <row r="933" s="37" customFormat="1" ht="15.75" customHeight="1"/>
    <row r="934" s="37" customFormat="1" ht="15.75" customHeight="1"/>
    <row r="935" s="37" customFormat="1" ht="15.75" customHeight="1"/>
    <row r="936" s="37" customFormat="1" ht="15.75" customHeight="1"/>
    <row r="937" s="37" customFormat="1" ht="15.75" customHeight="1"/>
    <row r="938" s="37" customFormat="1" ht="15.75" customHeight="1"/>
    <row r="939" s="37" customFormat="1" ht="15.75" customHeight="1"/>
    <row r="940" s="37" customFormat="1" ht="15.75" customHeight="1"/>
    <row r="941" s="37" customFormat="1" ht="15.75" customHeight="1"/>
    <row r="942" s="37" customFormat="1" ht="15.75" customHeight="1"/>
    <row r="943" s="37" customFormat="1" ht="15.75" customHeight="1"/>
    <row r="944" s="37" customFormat="1" ht="15.75" customHeight="1"/>
    <row r="945" s="37" customFormat="1" ht="15.75" customHeight="1"/>
    <row r="946" s="37" customFormat="1" ht="15.75" customHeight="1"/>
    <row r="947" s="37" customFormat="1" ht="15.75" customHeight="1"/>
    <row r="948" s="37" customFormat="1" ht="15.75" customHeight="1"/>
    <row r="949" s="37" customFormat="1" ht="15.75" customHeight="1"/>
    <row r="950" s="37" customFormat="1" ht="15.75" customHeight="1"/>
    <row r="951" s="37" customFormat="1" ht="15.75" customHeight="1"/>
    <row r="952" s="37" customFormat="1" ht="15.75" customHeight="1"/>
    <row r="953" s="37" customFormat="1" ht="15.75" customHeight="1"/>
    <row r="954" s="37" customFormat="1" ht="15.75" customHeight="1"/>
    <row r="955" s="37" customFormat="1" ht="15.75" customHeight="1"/>
    <row r="956" s="37" customFormat="1" ht="15.75" customHeight="1"/>
    <row r="957" s="37" customFormat="1" ht="15.75" customHeight="1"/>
    <row r="958" s="37" customFormat="1" ht="15.75" customHeight="1"/>
    <row r="959" s="37" customFormat="1" ht="15.75" customHeight="1"/>
    <row r="960" s="37" customFormat="1" ht="15.75" customHeight="1"/>
    <row r="961" s="37" customFormat="1" ht="15.75" customHeight="1"/>
    <row r="962" s="37" customFormat="1" ht="15.75" customHeight="1"/>
    <row r="963" s="37" customFormat="1" ht="15.75" customHeight="1"/>
    <row r="964" s="37" customFormat="1" ht="15.75" customHeight="1"/>
    <row r="965" s="37" customFormat="1" ht="15.75" customHeight="1"/>
    <row r="966" s="37" customFormat="1" ht="15.75" customHeight="1"/>
    <row r="967" s="37" customFormat="1" ht="15.75" customHeight="1"/>
    <row r="968" s="37" customFormat="1" ht="15.75" customHeight="1"/>
    <row r="969" s="37" customFormat="1" ht="15.75" customHeight="1"/>
    <row r="970" s="37" customFormat="1" ht="15.75" customHeight="1"/>
    <row r="971" s="37" customFormat="1" ht="15.75" customHeight="1"/>
    <row r="972" s="37" customFormat="1" ht="15.75" customHeight="1"/>
    <row r="973" s="37" customFormat="1" ht="15.75" customHeight="1"/>
    <row r="974" s="37" customFormat="1" ht="15.75" customHeight="1"/>
    <row r="975" s="37" customFormat="1" ht="15.75" customHeight="1"/>
    <row r="976" s="37" customFormat="1" ht="15.75" customHeight="1"/>
    <row r="977" s="37" customFormat="1" ht="15.75" customHeight="1"/>
    <row r="978" s="37" customFormat="1" ht="15.75" customHeight="1"/>
    <row r="979" s="37" customFormat="1" ht="15.75" customHeight="1"/>
    <row r="980" s="37" customFormat="1" ht="15.75" customHeight="1"/>
    <row r="981" s="37" customFormat="1" ht="15.75" customHeight="1"/>
    <row r="982" s="37" customFormat="1" ht="15.75" customHeight="1"/>
    <row r="983" s="37" customFormat="1" ht="15.75" customHeight="1"/>
    <row r="984" s="37" customFormat="1" ht="15.75" customHeight="1"/>
    <row r="985" s="37" customFormat="1" ht="15.75" customHeight="1"/>
    <row r="986" s="37" customFormat="1" ht="15.75" customHeight="1"/>
    <row r="987" s="37" customFormat="1" ht="15.75" customHeight="1"/>
    <row r="988" s="37" customFormat="1" ht="15.75" customHeight="1"/>
    <row r="989" s="37" customFormat="1" ht="15.75" customHeight="1"/>
    <row r="990" s="37" customFormat="1" ht="15.75" customHeight="1"/>
    <row r="991" s="37" customFormat="1" ht="15.75" customHeight="1"/>
    <row r="992" s="37" customFormat="1" ht="15.75" customHeight="1"/>
    <row r="993" s="37" customFormat="1" ht="15.75" customHeight="1"/>
    <row r="994" s="37" customFormat="1" ht="15.75" customHeight="1"/>
    <row r="995" s="37" customFormat="1" ht="15.75" customHeight="1"/>
    <row r="996" s="37" customFormat="1" ht="15.75" customHeight="1"/>
    <row r="997" s="37" customFormat="1" ht="15.75" customHeight="1"/>
    <row r="998" s="37" customFormat="1" ht="15.75" customHeight="1"/>
    <row r="999" s="37" customFormat="1" ht="15.75" customHeight="1"/>
    <row r="1000" s="37" customFormat="1" ht="15.75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workbookViewId="0">
      <selection activeCell="A1" sqref="A$1:A$1048576"/>
    </sheetView>
  </sheetViews>
  <sheetFormatPr defaultColWidth="8.72727272727273" defaultRowHeight="14.5" outlineLevelCol="5"/>
  <cols>
    <col min="1" max="1" width="11.4545454545455" customWidth="1"/>
    <col min="2" max="2" width="14.5454545454545" customWidth="1"/>
    <col min="3" max="3" width="12.3636363636364" customWidth="1"/>
    <col min="4" max="4" width="8.72727272727273" customWidth="1"/>
    <col min="6" max="6" width="11.4545454545455" customWidth="1"/>
  </cols>
  <sheetData>
    <row r="1" spans="1:6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</row>
    <row r="2" spans="1:6">
      <c r="A2" s="4" t="s">
        <v>25</v>
      </c>
      <c r="B2" s="4" t="s">
        <v>26</v>
      </c>
      <c r="C2" s="4" t="s">
        <v>27</v>
      </c>
      <c r="D2" s="4">
        <v>1000</v>
      </c>
      <c r="E2" s="4">
        <v>30</v>
      </c>
      <c r="F2" s="4" t="s">
        <v>28</v>
      </c>
    </row>
    <row r="3" spans="1:6">
      <c r="A3" s="6" t="s">
        <v>29</v>
      </c>
      <c r="B3" s="6" t="s">
        <v>30</v>
      </c>
      <c r="C3" s="6" t="s">
        <v>31</v>
      </c>
      <c r="D3" s="6">
        <v>80</v>
      </c>
      <c r="E3" s="6">
        <v>15</v>
      </c>
      <c r="F3" s="6" t="s">
        <v>32</v>
      </c>
    </row>
    <row r="4" spans="1:6">
      <c r="A4" s="4" t="s">
        <v>33</v>
      </c>
      <c r="B4" s="4" t="s">
        <v>34</v>
      </c>
      <c r="C4" s="4" t="s">
        <v>35</v>
      </c>
      <c r="D4" s="4">
        <v>130</v>
      </c>
      <c r="E4" s="4">
        <v>40</v>
      </c>
      <c r="F4" s="4" t="s">
        <v>36</v>
      </c>
    </row>
    <row r="5" spans="1:6">
      <c r="A5" s="6" t="s">
        <v>37</v>
      </c>
      <c r="B5" s="6" t="s">
        <v>38</v>
      </c>
      <c r="C5" s="6" t="s">
        <v>39</v>
      </c>
      <c r="D5" s="6">
        <v>900</v>
      </c>
      <c r="E5" s="6">
        <v>25</v>
      </c>
      <c r="F5" s="6" t="s">
        <v>28</v>
      </c>
    </row>
    <row r="6" spans="1:6">
      <c r="A6" s="4" t="s">
        <v>40</v>
      </c>
      <c r="B6" s="4" t="s">
        <v>41</v>
      </c>
      <c r="C6" s="4" t="s">
        <v>42</v>
      </c>
      <c r="D6" s="4">
        <v>70</v>
      </c>
      <c r="E6" s="4">
        <v>20</v>
      </c>
      <c r="F6" s="4"/>
    </row>
    <row r="7" spans="1:6">
      <c r="A7" s="6" t="s">
        <v>43</v>
      </c>
      <c r="B7" s="6" t="s">
        <v>44</v>
      </c>
      <c r="C7" s="6" t="s">
        <v>45</v>
      </c>
      <c r="D7" s="6"/>
      <c r="E7" s="6">
        <v>45</v>
      </c>
      <c r="F7" s="6" t="s">
        <v>46</v>
      </c>
    </row>
    <row r="8" spans="1:6">
      <c r="A8" s="4" t="s">
        <v>47</v>
      </c>
      <c r="B8" s="4" t="s">
        <v>48</v>
      </c>
      <c r="C8" s="4" t="s">
        <v>49</v>
      </c>
      <c r="D8" s="4">
        <v>30</v>
      </c>
      <c r="E8" s="4">
        <v>5</v>
      </c>
      <c r="F8" s="4" t="s">
        <v>32</v>
      </c>
    </row>
    <row r="9" spans="1:6">
      <c r="A9" s="6" t="s">
        <v>50</v>
      </c>
      <c r="B9" s="6" t="s">
        <v>51</v>
      </c>
      <c r="C9" s="6" t="s">
        <v>52</v>
      </c>
      <c r="D9" s="6">
        <v>90</v>
      </c>
      <c r="E9" s="6">
        <v>35</v>
      </c>
      <c r="F9" s="6" t="s">
        <v>36</v>
      </c>
    </row>
    <row r="10" spans="1:6">
      <c r="A10" s="4" t="s">
        <v>53</v>
      </c>
      <c r="B10" s="4" t="s">
        <v>54</v>
      </c>
      <c r="C10" s="4" t="s">
        <v>55</v>
      </c>
      <c r="D10" s="4">
        <v>500</v>
      </c>
      <c r="E10" s="4">
        <v>50</v>
      </c>
      <c r="F10" s="4" t="s">
        <v>28</v>
      </c>
    </row>
    <row r="11" spans="1:6">
      <c r="A11" s="6" t="s">
        <v>56</v>
      </c>
      <c r="B11" s="6" t="s">
        <v>57</v>
      </c>
      <c r="C11" s="6" t="s">
        <v>58</v>
      </c>
      <c r="D11" s="6">
        <v>130</v>
      </c>
      <c r="E11" s="6">
        <v>10</v>
      </c>
      <c r="F11" s="6" t="s">
        <v>59</v>
      </c>
    </row>
    <row r="12" spans="1:6">
      <c r="A12" s="4" t="s">
        <v>60</v>
      </c>
      <c r="B12" s="4" t="s">
        <v>61</v>
      </c>
      <c r="C12" s="4" t="s">
        <v>62</v>
      </c>
      <c r="D12" s="4">
        <v>950</v>
      </c>
      <c r="E12" s="4">
        <v>25</v>
      </c>
      <c r="F12" s="4" t="s">
        <v>28</v>
      </c>
    </row>
    <row r="13" spans="1:6">
      <c r="A13" s="6" t="s">
        <v>63</v>
      </c>
      <c r="B13" s="6" t="s">
        <v>30</v>
      </c>
      <c r="C13" s="6" t="s">
        <v>49</v>
      </c>
      <c r="D13" s="6">
        <v>90</v>
      </c>
      <c r="E13" s="6">
        <v>40</v>
      </c>
      <c r="F13" s="6"/>
    </row>
    <row r="14" spans="1:6">
      <c r="A14" s="4" t="s">
        <v>64</v>
      </c>
      <c r="B14" s="4" t="s">
        <v>34</v>
      </c>
      <c r="C14" s="4" t="s">
        <v>65</v>
      </c>
      <c r="D14" s="4">
        <v>120</v>
      </c>
      <c r="E14" s="4">
        <v>35</v>
      </c>
      <c r="F14" s="4"/>
    </row>
    <row r="15" spans="1:6">
      <c r="A15" s="6" t="s">
        <v>66</v>
      </c>
      <c r="B15" s="6" t="s">
        <v>67</v>
      </c>
      <c r="C15" s="6" t="s">
        <v>68</v>
      </c>
      <c r="D15" s="6">
        <v>150</v>
      </c>
      <c r="E15" s="6">
        <v>15</v>
      </c>
      <c r="F15" s="6" t="s">
        <v>46</v>
      </c>
    </row>
    <row r="16" spans="1:6">
      <c r="A16" s="4" t="s">
        <v>69</v>
      </c>
      <c r="B16" s="4" t="s">
        <v>70</v>
      </c>
      <c r="C16" s="4" t="s">
        <v>71</v>
      </c>
      <c r="D16" s="4">
        <v>250</v>
      </c>
      <c r="E16" s="4">
        <v>20</v>
      </c>
      <c r="F16" s="4" t="s">
        <v>46</v>
      </c>
    </row>
    <row r="17" spans="1:6">
      <c r="A17" s="6" t="s">
        <v>72</v>
      </c>
      <c r="B17" s="6" t="s">
        <v>73</v>
      </c>
      <c r="C17" s="6" t="s">
        <v>74</v>
      </c>
      <c r="D17" s="6">
        <v>50</v>
      </c>
      <c r="E17" s="6">
        <v>35</v>
      </c>
      <c r="F17" s="6" t="s">
        <v>75</v>
      </c>
    </row>
    <row r="18" spans="1:6">
      <c r="A18" s="4" t="s">
        <v>76</v>
      </c>
      <c r="B18" s="4" t="s">
        <v>67</v>
      </c>
      <c r="C18" s="4" t="s">
        <v>77</v>
      </c>
      <c r="D18" s="4">
        <v>160</v>
      </c>
      <c r="E18" s="4">
        <v>15</v>
      </c>
      <c r="F18" s="4" t="s">
        <v>46</v>
      </c>
    </row>
    <row r="19" spans="1:6">
      <c r="A19" s="6" t="s">
        <v>78</v>
      </c>
      <c r="B19" s="6" t="s">
        <v>26</v>
      </c>
      <c r="C19" s="6" t="s">
        <v>79</v>
      </c>
      <c r="D19" s="6">
        <v>980</v>
      </c>
      <c r="E19" s="6">
        <v>10</v>
      </c>
      <c r="F19" s="6" t="s">
        <v>28</v>
      </c>
    </row>
    <row r="20" spans="1:6">
      <c r="A20" s="4" t="s">
        <v>80</v>
      </c>
      <c r="B20" s="4" t="s">
        <v>81</v>
      </c>
      <c r="C20" s="4" t="s">
        <v>82</v>
      </c>
      <c r="D20" s="4">
        <v>150</v>
      </c>
      <c r="E20" s="4">
        <v>15</v>
      </c>
      <c r="F20" s="4" t="s">
        <v>32</v>
      </c>
    </row>
    <row r="21" spans="1:6">
      <c r="A21" s="6" t="s">
        <v>83</v>
      </c>
      <c r="B21" s="6" t="s">
        <v>84</v>
      </c>
      <c r="C21" s="6" t="s">
        <v>85</v>
      </c>
      <c r="D21" s="6"/>
      <c r="E21" s="6">
        <v>10</v>
      </c>
      <c r="F21" s="6" t="s">
        <v>59</v>
      </c>
    </row>
    <row r="22" spans="1:6">
      <c r="A22" s="4" t="s">
        <v>86</v>
      </c>
      <c r="B22" s="4" t="s">
        <v>87</v>
      </c>
      <c r="C22" s="4" t="s">
        <v>88</v>
      </c>
      <c r="D22" s="4">
        <v>700</v>
      </c>
      <c r="E22" s="4">
        <v>50</v>
      </c>
      <c r="F22" s="4" t="s">
        <v>28</v>
      </c>
    </row>
    <row r="23" spans="1:6">
      <c r="A23" s="6" t="s">
        <v>89</v>
      </c>
      <c r="B23" s="6" t="s">
        <v>90</v>
      </c>
      <c r="C23" s="6" t="s">
        <v>91</v>
      </c>
      <c r="D23" s="6">
        <v>80</v>
      </c>
      <c r="E23" s="6">
        <v>20</v>
      </c>
      <c r="F23" s="6" t="s">
        <v>36</v>
      </c>
    </row>
    <row r="24" spans="1:6">
      <c r="A24" s="4" t="s">
        <v>92</v>
      </c>
      <c r="B24" s="4" t="s">
        <v>93</v>
      </c>
      <c r="C24" s="4" t="s">
        <v>94</v>
      </c>
      <c r="D24" s="4">
        <v>150</v>
      </c>
      <c r="E24" s="4">
        <v>30</v>
      </c>
      <c r="F24" s="4"/>
    </row>
    <row r="25" spans="1:6">
      <c r="A25" s="6" t="s">
        <v>72</v>
      </c>
      <c r="B25" s="6" t="s">
        <v>73</v>
      </c>
      <c r="C25" s="6" t="s">
        <v>74</v>
      </c>
      <c r="D25" s="6">
        <v>50</v>
      </c>
      <c r="E25" s="6">
        <v>35</v>
      </c>
      <c r="F25" s="6" t="s">
        <v>75</v>
      </c>
    </row>
    <row r="26" spans="1:6">
      <c r="A26" s="4" t="s">
        <v>95</v>
      </c>
      <c r="B26" s="4" t="s">
        <v>96</v>
      </c>
      <c r="C26" s="4" t="s">
        <v>97</v>
      </c>
      <c r="D26" s="4">
        <v>800</v>
      </c>
      <c r="E26" s="4">
        <v>45</v>
      </c>
      <c r="F26" s="4" t="s">
        <v>28</v>
      </c>
    </row>
    <row r="27" spans="1:6">
      <c r="A27" s="6" t="s">
        <v>98</v>
      </c>
      <c r="B27" s="6" t="s">
        <v>81</v>
      </c>
      <c r="C27" s="6" t="s">
        <v>99</v>
      </c>
      <c r="D27" s="6"/>
      <c r="E27" s="6">
        <v>25</v>
      </c>
      <c r="F27" s="6" t="s">
        <v>32</v>
      </c>
    </row>
    <row r="28" spans="1:6">
      <c r="A28" s="4" t="s">
        <v>100</v>
      </c>
      <c r="B28" s="4" t="s">
        <v>51</v>
      </c>
      <c r="C28" s="4" t="s">
        <v>101</v>
      </c>
      <c r="D28" s="4">
        <v>400</v>
      </c>
      <c r="E28" s="4">
        <v>40</v>
      </c>
      <c r="F28" s="4" t="s">
        <v>36</v>
      </c>
    </row>
    <row r="29" spans="1:6">
      <c r="A29" s="6" t="s">
        <v>69</v>
      </c>
      <c r="B29" s="6" t="s">
        <v>70</v>
      </c>
      <c r="C29" s="6" t="s">
        <v>71</v>
      </c>
      <c r="D29" s="6">
        <v>250</v>
      </c>
      <c r="E29" s="6">
        <v>20</v>
      </c>
      <c r="F29" s="6" t="s">
        <v>46</v>
      </c>
    </row>
    <row r="30" spans="1:6">
      <c r="A30" s="4" t="s">
        <v>102</v>
      </c>
      <c r="B30" s="4" t="s">
        <v>103</v>
      </c>
      <c r="C30" s="4" t="s">
        <v>104</v>
      </c>
      <c r="D30" s="4">
        <v>60</v>
      </c>
      <c r="E30" s="4">
        <v>30</v>
      </c>
      <c r="F30" s="4" t="s">
        <v>32</v>
      </c>
    </row>
    <row r="31" spans="1:6">
      <c r="A31" s="6" t="s">
        <v>105</v>
      </c>
      <c r="B31" s="6" t="s">
        <v>106</v>
      </c>
      <c r="C31" s="6" t="s">
        <v>107</v>
      </c>
      <c r="D31" s="6">
        <v>40</v>
      </c>
      <c r="E31" s="6">
        <v>10</v>
      </c>
      <c r="F31" s="6" t="s">
        <v>36</v>
      </c>
    </row>
    <row r="32" spans="1:6">
      <c r="A32" s="4" t="s">
        <v>108</v>
      </c>
      <c r="B32" s="4" t="s">
        <v>93</v>
      </c>
      <c r="C32" s="4" t="s">
        <v>109</v>
      </c>
      <c r="D32" s="4">
        <v>130</v>
      </c>
      <c r="E32" s="4">
        <v>5</v>
      </c>
      <c r="F32" s="4" t="s">
        <v>28</v>
      </c>
    </row>
    <row r="33" spans="1:6">
      <c r="A33" s="6" t="s">
        <v>110</v>
      </c>
      <c r="B33" s="6" t="s">
        <v>111</v>
      </c>
      <c r="C33" s="6" t="s">
        <v>112</v>
      </c>
      <c r="D33" s="6">
        <v>50</v>
      </c>
      <c r="E33" s="6">
        <v>50</v>
      </c>
      <c r="F33" s="6" t="s">
        <v>32</v>
      </c>
    </row>
    <row r="34" spans="1:6">
      <c r="A34" s="4" t="s">
        <v>60</v>
      </c>
      <c r="B34" s="4" t="s">
        <v>61</v>
      </c>
      <c r="C34" s="4" t="s">
        <v>62</v>
      </c>
      <c r="D34" s="4">
        <v>950</v>
      </c>
      <c r="E34" s="4">
        <v>25</v>
      </c>
      <c r="F34" s="4" t="s">
        <v>28</v>
      </c>
    </row>
    <row r="35" spans="1:6">
      <c r="A35" s="6" t="s">
        <v>113</v>
      </c>
      <c r="B35" s="6" t="s">
        <v>114</v>
      </c>
      <c r="C35" s="6" t="s">
        <v>115</v>
      </c>
      <c r="D35" s="6">
        <v>100</v>
      </c>
      <c r="E35" s="6">
        <v>20</v>
      </c>
      <c r="F35" s="6" t="s">
        <v>75</v>
      </c>
    </row>
  </sheetData>
  <conditionalFormatting sqref="I1">
    <cfRule type="duplicateValues" dxfId="0" priority="2"/>
  </conditionalFormatting>
  <conditionalFormatting sqref="A$1:A$1048576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showGridLines="0" topLeftCell="C1" workbookViewId="0">
      <selection activeCell="N9" sqref="N9"/>
    </sheetView>
  </sheetViews>
  <sheetFormatPr defaultColWidth="8.72727272727273" defaultRowHeight="14.5"/>
  <cols>
    <col min="1" max="1" width="11.8181818181818" customWidth="1"/>
    <col min="2" max="2" width="20.8181818181818" style="12" customWidth="1"/>
    <col min="3" max="4" width="14.5454545454545" style="13" customWidth="1"/>
    <col min="5" max="5" width="14" customWidth="1"/>
    <col min="6" max="6" width="17" customWidth="1"/>
    <col min="7" max="7" width="23.0909090909091" customWidth="1"/>
    <col min="8" max="8" width="13.0909090909091" style="14"/>
    <col min="9" max="9" width="9.45454545454546" style="15" customWidth="1"/>
    <col min="11" max="11" width="11.8181818181818" customWidth="1"/>
    <col min="12" max="12" width="20" customWidth="1"/>
    <col min="15" max="15" width="37.3636363636364" customWidth="1"/>
  </cols>
  <sheetData>
    <row r="1" spans="1:16">
      <c r="A1" s="2" t="s">
        <v>19</v>
      </c>
      <c r="B1" s="16" t="s">
        <v>116</v>
      </c>
      <c r="C1" s="17" t="s">
        <v>117</v>
      </c>
      <c r="D1" s="17" t="s">
        <v>20</v>
      </c>
      <c r="E1" s="18" t="s">
        <v>118</v>
      </c>
      <c r="F1" s="18" t="s">
        <v>21</v>
      </c>
      <c r="G1" s="18" t="s">
        <v>119</v>
      </c>
      <c r="H1" s="19" t="s">
        <v>22</v>
      </c>
      <c r="I1" s="20" t="s">
        <v>120</v>
      </c>
      <c r="J1" s="18" t="s">
        <v>23</v>
      </c>
      <c r="K1" s="18" t="s">
        <v>24</v>
      </c>
      <c r="L1" s="21" t="s">
        <v>121</v>
      </c>
    </row>
    <row r="2" spans="1:16">
      <c r="A2" s="4" t="s">
        <v>25</v>
      </c>
      <c r="B2" s="22">
        <v>46050</v>
      </c>
      <c r="C2" s="23" t="s">
        <v>122</v>
      </c>
      <c r="D2" s="23" t="s">
        <v>26</v>
      </c>
      <c r="E2" s="4" t="str">
        <f>PROPER(D2)</f>
        <v>Laptop</v>
      </c>
      <c r="F2" s="4" t="s">
        <v>27</v>
      </c>
      <c r="G2" s="4" t="str">
        <f>_xlfn.CONCAT(F2," ",E2)</f>
        <v>Dell Laptop</v>
      </c>
      <c r="H2" s="24">
        <v>1000</v>
      </c>
      <c r="I2" s="25">
        <v>1000</v>
      </c>
      <c r="J2" s="4">
        <v>30</v>
      </c>
      <c r="K2" s="4" t="s">
        <v>28</v>
      </c>
      <c r="L2" s="4" t="s">
        <v>28</v>
      </c>
    </row>
    <row r="3" spans="1:16">
      <c r="A3" s="6" t="s">
        <v>29</v>
      </c>
      <c r="B3" s="26">
        <v>46068</v>
      </c>
      <c r="C3" s="23" t="s">
        <v>122</v>
      </c>
      <c r="D3" s="27" t="s">
        <v>30</v>
      </c>
      <c r="E3" s="4" t="str">
        <f t="shared" ref="E3:E35" si="0">PROPER(D3)</f>
        <v>Sneakers</v>
      </c>
      <c r="F3" s="6" t="s">
        <v>31</v>
      </c>
      <c r="G3" s="4" t="str">
        <f t="shared" ref="G3:G32" si="1">_xlfn.CONCAT(F3," ",E3)</f>
        <v>Nike Sneakers</v>
      </c>
      <c r="H3" s="28">
        <v>80</v>
      </c>
      <c r="I3" s="29">
        <v>80</v>
      </c>
      <c r="J3" s="6">
        <v>15</v>
      </c>
      <c r="K3" s="6" t="s">
        <v>32</v>
      </c>
      <c r="L3" s="6" t="s">
        <v>32</v>
      </c>
    </row>
    <row r="4" spans="1:16">
      <c r="A4" s="4" t="s">
        <v>33</v>
      </c>
      <c r="B4" s="22">
        <v>46084</v>
      </c>
      <c r="C4" s="23" t="s">
        <v>122</v>
      </c>
      <c r="D4" s="23" t="s">
        <v>34</v>
      </c>
      <c r="E4" s="4" t="str">
        <f t="shared" si="0"/>
        <v>Coffee Maker</v>
      </c>
      <c r="F4" s="4" t="s">
        <v>35</v>
      </c>
      <c r="G4" s="4" t="str">
        <f t="shared" si="1"/>
        <v>Keurig Coffee Maker</v>
      </c>
      <c r="H4" s="24">
        <v>130</v>
      </c>
      <c r="I4" s="25">
        <v>130</v>
      </c>
      <c r="J4" s="4">
        <v>40</v>
      </c>
      <c r="K4" s="4" t="s">
        <v>36</v>
      </c>
      <c r="L4" s="4" t="s">
        <v>36</v>
      </c>
      <c r="O4" s="30" t="s">
        <v>123</v>
      </c>
      <c r="P4">
        <v>3</v>
      </c>
    </row>
    <row r="5" spans="1:16">
      <c r="A5" s="6" t="s">
        <v>37</v>
      </c>
      <c r="B5" s="26">
        <v>46123</v>
      </c>
      <c r="C5" s="23" t="s">
        <v>122</v>
      </c>
      <c r="D5" s="27" t="s">
        <v>38</v>
      </c>
      <c r="E5" s="4" t="str">
        <f t="shared" si="0"/>
        <v>Smartphone</v>
      </c>
      <c r="F5" s="6" t="s">
        <v>39</v>
      </c>
      <c r="G5" s="4" t="str">
        <f t="shared" si="1"/>
        <v>Samsung Smartphone</v>
      </c>
      <c r="H5" s="28">
        <v>900</v>
      </c>
      <c r="I5" s="29">
        <v>900</v>
      </c>
      <c r="J5" s="6">
        <v>25</v>
      </c>
      <c r="K5" s="6" t="s">
        <v>28</v>
      </c>
      <c r="L5" s="6" t="s">
        <v>28</v>
      </c>
      <c r="O5" t="s">
        <v>124</v>
      </c>
    </row>
    <row r="6" spans="1:16">
      <c r="A6" s="4" t="s">
        <v>40</v>
      </c>
      <c r="B6" s="22">
        <v>46164</v>
      </c>
      <c r="C6" s="23" t="s">
        <v>122</v>
      </c>
      <c r="D6" s="23" t="s">
        <v>41</v>
      </c>
      <c r="E6" s="4" t="str">
        <f t="shared" si="0"/>
        <v>Backpack</v>
      </c>
      <c r="F6" s="4" t="s">
        <v>42</v>
      </c>
      <c r="G6" s="4" t="str">
        <f t="shared" si="1"/>
        <v>North Face Backpack</v>
      </c>
      <c r="H6" s="24">
        <v>70</v>
      </c>
      <c r="I6" s="25">
        <v>70</v>
      </c>
      <c r="J6" s="4">
        <v>20</v>
      </c>
      <c r="K6" s="11" t="s">
        <v>59</v>
      </c>
      <c r="L6" s="10" t="s">
        <v>59</v>
      </c>
      <c r="O6" s="30" t="s">
        <v>125</v>
      </c>
    </row>
    <row r="7" spans="1:16">
      <c r="A7" s="6" t="s">
        <v>43</v>
      </c>
      <c r="B7" s="26">
        <v>46180</v>
      </c>
      <c r="C7" s="23" t="s">
        <v>126</v>
      </c>
      <c r="D7" s="27" t="s">
        <v>44</v>
      </c>
      <c r="E7" s="4" t="str">
        <f t="shared" si="0"/>
        <v>Headphones</v>
      </c>
      <c r="F7" s="6" t="s">
        <v>45</v>
      </c>
      <c r="G7" s="4" t="str">
        <f t="shared" si="1"/>
        <v>Sony Headphones</v>
      </c>
      <c r="H7" s="31">
        <v>700</v>
      </c>
      <c r="I7" s="32">
        <v>700</v>
      </c>
      <c r="J7" s="6">
        <v>45</v>
      </c>
      <c r="K7" s="6" t="s">
        <v>28</v>
      </c>
      <c r="L7" s="6" t="s">
        <v>28</v>
      </c>
    </row>
    <row r="8" spans="1:16">
      <c r="A8" s="4" t="s">
        <v>47</v>
      </c>
      <c r="B8" s="22">
        <v>46222</v>
      </c>
      <c r="C8" s="23" t="s">
        <v>126</v>
      </c>
      <c r="D8" s="23" t="s">
        <v>48</v>
      </c>
      <c r="E8" s="4" t="str">
        <f t="shared" si="0"/>
        <v>T-Shirt</v>
      </c>
      <c r="F8" s="4" t="s">
        <v>49</v>
      </c>
      <c r="G8" s="4" t="str">
        <f t="shared" si="1"/>
        <v>Adidas T-Shirt</v>
      </c>
      <c r="H8" s="24">
        <v>30</v>
      </c>
      <c r="I8" s="25">
        <v>30</v>
      </c>
      <c r="J8" s="4">
        <v>5</v>
      </c>
      <c r="K8" s="4" t="s">
        <v>32</v>
      </c>
      <c r="L8" s="4" t="s">
        <v>32</v>
      </c>
      <c r="O8" s="30" t="s">
        <v>127</v>
      </c>
    </row>
    <row r="9" spans="1:16">
      <c r="A9" s="6" t="s">
        <v>50</v>
      </c>
      <c r="B9" s="26">
        <v>46257</v>
      </c>
      <c r="C9" s="23" t="s">
        <v>126</v>
      </c>
      <c r="D9" s="27" t="s">
        <v>51</v>
      </c>
      <c r="E9" s="4" t="str">
        <f t="shared" si="0"/>
        <v>Blender</v>
      </c>
      <c r="F9" s="6" t="s">
        <v>52</v>
      </c>
      <c r="G9" s="4" t="str">
        <f t="shared" si="1"/>
        <v>Ninja Blender</v>
      </c>
      <c r="H9" s="28">
        <v>90</v>
      </c>
      <c r="I9" s="29">
        <v>90</v>
      </c>
      <c r="J9" s="6">
        <v>35</v>
      </c>
      <c r="K9" s="6" t="s">
        <v>36</v>
      </c>
      <c r="L9" s="6" t="s">
        <v>36</v>
      </c>
      <c r="O9" s="30" t="s">
        <v>128</v>
      </c>
    </row>
    <row r="10" spans="1:16">
      <c r="A10" s="4" t="s">
        <v>53</v>
      </c>
      <c r="B10" s="22">
        <v>46270</v>
      </c>
      <c r="C10" s="23" t="s">
        <v>126</v>
      </c>
      <c r="D10" s="23" t="s">
        <v>54</v>
      </c>
      <c r="E10" s="4" t="str">
        <f t="shared" si="0"/>
        <v>Tablet</v>
      </c>
      <c r="F10" s="4" t="s">
        <v>55</v>
      </c>
      <c r="G10" s="4" t="str">
        <f t="shared" si="1"/>
        <v>Apple Tablet</v>
      </c>
      <c r="H10" s="24">
        <v>500</v>
      </c>
      <c r="I10" s="25">
        <v>500</v>
      </c>
      <c r="J10" s="4">
        <v>50</v>
      </c>
      <c r="K10" s="4" t="s">
        <v>28</v>
      </c>
      <c r="L10" s="4" t="s">
        <v>28</v>
      </c>
    </row>
    <row r="11" spans="1:16">
      <c r="A11" s="6" t="s">
        <v>56</v>
      </c>
      <c r="B11" s="26">
        <v>46309</v>
      </c>
      <c r="C11" s="23" t="s">
        <v>126</v>
      </c>
      <c r="D11" s="27" t="s">
        <v>57</v>
      </c>
      <c r="E11" s="4" t="str">
        <f t="shared" si="0"/>
        <v>Hiking Boots</v>
      </c>
      <c r="F11" s="6" t="s">
        <v>58</v>
      </c>
      <c r="G11" s="4" t="str">
        <f t="shared" si="1"/>
        <v>Timberland Hiking Boots</v>
      </c>
      <c r="H11" s="28">
        <v>130</v>
      </c>
      <c r="I11" s="29">
        <v>130</v>
      </c>
      <c r="J11" s="6">
        <v>10</v>
      </c>
      <c r="K11" s="6" t="s">
        <v>59</v>
      </c>
      <c r="L11" s="6" t="s">
        <v>59</v>
      </c>
    </row>
    <row r="12" spans="1:16">
      <c r="A12" s="4" t="s">
        <v>60</v>
      </c>
      <c r="B12" s="22">
        <v>46190</v>
      </c>
      <c r="C12" s="23" t="s">
        <v>129</v>
      </c>
      <c r="D12" s="23" t="s">
        <v>61</v>
      </c>
      <c r="E12" s="4" t="str">
        <f t="shared" si="0"/>
        <v>Laptop</v>
      </c>
      <c r="F12" s="4" t="s">
        <v>62</v>
      </c>
      <c r="G12" s="4" t="str">
        <f t="shared" si="1"/>
        <v>HP Laptop</v>
      </c>
      <c r="H12" s="24">
        <v>950</v>
      </c>
      <c r="I12" s="25">
        <v>950</v>
      </c>
      <c r="J12" s="4">
        <v>25</v>
      </c>
      <c r="K12" s="4" t="s">
        <v>28</v>
      </c>
      <c r="L12" s="4" t="s">
        <v>28</v>
      </c>
    </row>
    <row r="13" spans="1:16">
      <c r="A13" s="6" t="s">
        <v>63</v>
      </c>
      <c r="B13" s="26">
        <v>46351</v>
      </c>
      <c r="C13" s="23" t="s">
        <v>130</v>
      </c>
      <c r="D13" s="27" t="s">
        <v>30</v>
      </c>
      <c r="E13" s="4" t="str">
        <f t="shared" si="0"/>
        <v>Sneakers</v>
      </c>
      <c r="F13" s="6" t="s">
        <v>49</v>
      </c>
      <c r="G13" s="4" t="str">
        <f t="shared" si="1"/>
        <v>Adidas Sneakers</v>
      </c>
      <c r="H13" s="28">
        <v>90</v>
      </c>
      <c r="I13" s="29">
        <v>90</v>
      </c>
      <c r="J13" s="6">
        <v>40</v>
      </c>
      <c r="K13" s="11" t="s">
        <v>32</v>
      </c>
      <c r="L13" s="10" t="s">
        <v>32</v>
      </c>
      <c r="O13" s="33" t="s">
        <v>131</v>
      </c>
    </row>
    <row r="14" spans="1:16">
      <c r="A14" s="4" t="s">
        <v>64</v>
      </c>
      <c r="B14" s="22">
        <v>46364</v>
      </c>
      <c r="C14" s="23" t="s">
        <v>132</v>
      </c>
      <c r="D14" s="23" t="s">
        <v>34</v>
      </c>
      <c r="E14" s="4" t="str">
        <f t="shared" si="0"/>
        <v>Coffee Maker</v>
      </c>
      <c r="F14" s="4" t="s">
        <v>65</v>
      </c>
      <c r="G14" s="4" t="str">
        <f t="shared" si="1"/>
        <v>Nespresso Coffee Maker</v>
      </c>
      <c r="H14" s="24">
        <v>120</v>
      </c>
      <c r="I14" s="25">
        <v>120</v>
      </c>
      <c r="J14" s="4">
        <v>35</v>
      </c>
      <c r="K14" s="11" t="s">
        <v>36</v>
      </c>
      <c r="L14" s="10" t="s">
        <v>36</v>
      </c>
    </row>
    <row r="15" spans="1:16">
      <c r="A15" s="6" t="s">
        <v>66</v>
      </c>
      <c r="B15" s="26">
        <v>46071</v>
      </c>
      <c r="C15" s="23" t="s">
        <v>133</v>
      </c>
      <c r="D15" s="27" t="s">
        <v>67</v>
      </c>
      <c r="E15" s="4" t="str">
        <f t="shared" si="0"/>
        <v>Smartwatch</v>
      </c>
      <c r="F15" s="6" t="s">
        <v>68</v>
      </c>
      <c r="G15" s="4" t="str">
        <f t="shared" si="1"/>
        <v>Fitbit Smartwatch</v>
      </c>
      <c r="H15" s="28">
        <v>150</v>
      </c>
      <c r="I15" s="29">
        <v>150</v>
      </c>
      <c r="J15" s="6">
        <v>15</v>
      </c>
      <c r="K15" s="6" t="s">
        <v>28</v>
      </c>
      <c r="L15" s="6" t="s">
        <v>28</v>
      </c>
    </row>
    <row r="16" spans="1:16">
      <c r="A16" s="4" t="s">
        <v>69</v>
      </c>
      <c r="B16" s="22">
        <v>46128</v>
      </c>
      <c r="C16" s="23" t="s">
        <v>134</v>
      </c>
      <c r="D16" s="23" t="s">
        <v>70</v>
      </c>
      <c r="E16" s="4" t="str">
        <f t="shared" si="0"/>
        <v>Headphones</v>
      </c>
      <c r="F16" s="4" t="s">
        <v>71</v>
      </c>
      <c r="G16" s="4" t="str">
        <f t="shared" si="1"/>
        <v>Bose Headphones</v>
      </c>
      <c r="H16" s="24">
        <v>250</v>
      </c>
      <c r="I16" s="25">
        <v>250</v>
      </c>
      <c r="J16" s="4">
        <v>20</v>
      </c>
      <c r="K16" s="4" t="s">
        <v>28</v>
      </c>
      <c r="L16" s="4" t="s">
        <v>28</v>
      </c>
    </row>
    <row r="17" spans="1:12">
      <c r="A17" s="6" t="s">
        <v>72</v>
      </c>
      <c r="B17" s="26">
        <v>46255</v>
      </c>
      <c r="C17" s="23" t="s">
        <v>133</v>
      </c>
      <c r="D17" s="27" t="s">
        <v>73</v>
      </c>
      <c r="E17" s="4" t="str">
        <f t="shared" si="0"/>
        <v>Laptop Bag</v>
      </c>
      <c r="F17" s="6" t="s">
        <v>74</v>
      </c>
      <c r="G17" s="4" t="str">
        <f t="shared" si="1"/>
        <v>Samsonite Laptop Bag</v>
      </c>
      <c r="H17" s="28">
        <v>50</v>
      </c>
      <c r="I17" s="29">
        <v>50</v>
      </c>
      <c r="J17" s="6">
        <v>35</v>
      </c>
      <c r="K17" s="6" t="s">
        <v>75</v>
      </c>
      <c r="L17" s="6" t="s">
        <v>75</v>
      </c>
    </row>
    <row r="18" spans="1:12">
      <c r="A18" s="4" t="s">
        <v>76</v>
      </c>
      <c r="B18" s="22">
        <v>46254</v>
      </c>
      <c r="C18" s="23" t="s">
        <v>135</v>
      </c>
      <c r="D18" s="23" t="s">
        <v>67</v>
      </c>
      <c r="E18" s="4" t="str">
        <f t="shared" si="0"/>
        <v>Smartwatch</v>
      </c>
      <c r="F18" s="4" t="s">
        <v>77</v>
      </c>
      <c r="G18" s="4" t="str">
        <f t="shared" si="1"/>
        <v>Huawei Smartwatch</v>
      </c>
      <c r="H18" s="24">
        <v>160</v>
      </c>
      <c r="I18" s="25">
        <v>160</v>
      </c>
      <c r="J18" s="4">
        <v>15</v>
      </c>
      <c r="K18" s="4" t="s">
        <v>28</v>
      </c>
      <c r="L18" s="4" t="s">
        <v>28</v>
      </c>
    </row>
    <row r="19" spans="1:12">
      <c r="A19" s="6" t="s">
        <v>78</v>
      </c>
      <c r="B19" s="26">
        <v>46049</v>
      </c>
      <c r="C19" s="23" t="s">
        <v>136</v>
      </c>
      <c r="D19" s="27" t="s">
        <v>26</v>
      </c>
      <c r="E19" s="4" t="str">
        <f t="shared" si="0"/>
        <v>Laptop</v>
      </c>
      <c r="F19" s="6" t="s">
        <v>79</v>
      </c>
      <c r="G19" s="4" t="str">
        <f t="shared" si="1"/>
        <v>Asus Laptop</v>
      </c>
      <c r="H19" s="28">
        <v>980</v>
      </c>
      <c r="I19" s="29">
        <v>980</v>
      </c>
      <c r="J19" s="6">
        <v>10</v>
      </c>
      <c r="K19" s="6" t="s">
        <v>28</v>
      </c>
      <c r="L19" s="6" t="s">
        <v>28</v>
      </c>
    </row>
    <row r="20" spans="1:12">
      <c r="A20" s="4" t="s">
        <v>80</v>
      </c>
      <c r="B20" s="22">
        <v>46082</v>
      </c>
      <c r="C20" s="23" t="s">
        <v>126</v>
      </c>
      <c r="D20" s="23" t="s">
        <v>81</v>
      </c>
      <c r="E20" s="4" t="str">
        <f t="shared" si="0"/>
        <v>Sunglasses</v>
      </c>
      <c r="F20" s="4" t="s">
        <v>82</v>
      </c>
      <c r="G20" s="4" t="str">
        <f t="shared" si="1"/>
        <v>Oakley Sunglasses</v>
      </c>
      <c r="H20" s="24">
        <v>150</v>
      </c>
      <c r="I20" s="25">
        <v>150</v>
      </c>
      <c r="J20" s="4">
        <v>15</v>
      </c>
      <c r="K20" s="4" t="s">
        <v>32</v>
      </c>
      <c r="L20" s="4" t="s">
        <v>32</v>
      </c>
    </row>
    <row r="21" spans="1:12">
      <c r="A21" s="6" t="s">
        <v>83</v>
      </c>
      <c r="B21" s="26">
        <v>46248</v>
      </c>
      <c r="C21" s="23" t="s">
        <v>122</v>
      </c>
      <c r="D21" s="27" t="s">
        <v>84</v>
      </c>
      <c r="E21" s="4" t="str">
        <f t="shared" si="0"/>
        <v>Camping Tent</v>
      </c>
      <c r="F21" s="6" t="s">
        <v>85</v>
      </c>
      <c r="G21" s="4" t="str">
        <f t="shared" si="1"/>
        <v>Coleman Camping Tent</v>
      </c>
      <c r="H21" s="31">
        <v>130</v>
      </c>
      <c r="I21" s="34">
        <v>130</v>
      </c>
      <c r="J21" s="6">
        <v>10</v>
      </c>
      <c r="K21" s="6" t="s">
        <v>59</v>
      </c>
      <c r="L21" s="6" t="s">
        <v>59</v>
      </c>
    </row>
    <row r="22" spans="1:12">
      <c r="A22" s="4" t="s">
        <v>86</v>
      </c>
      <c r="B22" s="22">
        <v>46156</v>
      </c>
      <c r="C22" s="23" t="s">
        <v>137</v>
      </c>
      <c r="D22" s="23" t="s">
        <v>87</v>
      </c>
      <c r="E22" s="4" t="str">
        <f t="shared" si="0"/>
        <v>Camera</v>
      </c>
      <c r="F22" s="4" t="s">
        <v>88</v>
      </c>
      <c r="G22" s="4" t="str">
        <f t="shared" si="1"/>
        <v>Nikon Camera</v>
      </c>
      <c r="H22" s="24">
        <v>700</v>
      </c>
      <c r="I22" s="25">
        <v>700</v>
      </c>
      <c r="J22" s="4">
        <v>50</v>
      </c>
      <c r="K22" s="4" t="s">
        <v>28</v>
      </c>
      <c r="L22" s="4" t="s">
        <v>28</v>
      </c>
    </row>
    <row r="23" spans="1:12">
      <c r="A23" s="6" t="s">
        <v>89</v>
      </c>
      <c r="B23" s="26">
        <v>46031</v>
      </c>
      <c r="C23" s="23" t="s">
        <v>133</v>
      </c>
      <c r="D23" s="27" t="s">
        <v>90</v>
      </c>
      <c r="E23" s="4" t="str">
        <f t="shared" si="0"/>
        <v>Microwave</v>
      </c>
      <c r="F23" s="6" t="s">
        <v>91</v>
      </c>
      <c r="G23" s="4" t="str">
        <f t="shared" si="1"/>
        <v>Panasonic Microwave</v>
      </c>
      <c r="H23" s="28">
        <v>80</v>
      </c>
      <c r="I23" s="29">
        <v>80</v>
      </c>
      <c r="J23" s="6">
        <v>20</v>
      </c>
      <c r="K23" s="6" t="s">
        <v>36</v>
      </c>
      <c r="L23" s="6" t="s">
        <v>36</v>
      </c>
    </row>
    <row r="24" spans="1:12">
      <c r="A24" s="4" t="s">
        <v>92</v>
      </c>
      <c r="B24" s="22">
        <v>46222</v>
      </c>
      <c r="C24" s="23" t="s">
        <v>138</v>
      </c>
      <c r="D24" s="23" t="s">
        <v>93</v>
      </c>
      <c r="E24" s="4" t="str">
        <f t="shared" si="0"/>
        <v>Fitness Tracker</v>
      </c>
      <c r="F24" s="4" t="s">
        <v>94</v>
      </c>
      <c r="G24" s="4" t="str">
        <f t="shared" si="1"/>
        <v>Xiaomi Fitness Tracker</v>
      </c>
      <c r="H24" s="24">
        <v>150</v>
      </c>
      <c r="I24" s="25">
        <v>150</v>
      </c>
      <c r="J24" s="4">
        <v>30</v>
      </c>
      <c r="K24" s="8" t="s">
        <v>28</v>
      </c>
      <c r="L24" s="35" t="s">
        <v>28</v>
      </c>
    </row>
    <row r="25" spans="1:12">
      <c r="A25" s="4" t="s">
        <v>95</v>
      </c>
      <c r="B25" s="22">
        <v>46294</v>
      </c>
      <c r="C25" s="23" t="s">
        <v>133</v>
      </c>
      <c r="D25" s="23" t="s">
        <v>96</v>
      </c>
      <c r="E25" s="4" t="str">
        <f t="shared" si="0"/>
        <v>Smartphone</v>
      </c>
      <c r="F25" s="4" t="s">
        <v>97</v>
      </c>
      <c r="G25" s="4" t="str">
        <f t="shared" si="1"/>
        <v>Google Smartphone</v>
      </c>
      <c r="H25" s="24">
        <v>800</v>
      </c>
      <c r="I25" s="25">
        <v>800</v>
      </c>
      <c r="J25" s="4">
        <v>45</v>
      </c>
      <c r="K25" s="4" t="s">
        <v>28</v>
      </c>
      <c r="L25" s="4" t="s">
        <v>28</v>
      </c>
    </row>
    <row r="26" spans="1:12">
      <c r="A26" s="6" t="s">
        <v>98</v>
      </c>
      <c r="B26" s="26">
        <v>46176</v>
      </c>
      <c r="C26" s="23" t="s">
        <v>133</v>
      </c>
      <c r="D26" s="27" t="s">
        <v>81</v>
      </c>
      <c r="E26" s="4" t="str">
        <f t="shared" si="0"/>
        <v>Sunglasses</v>
      </c>
      <c r="F26" s="6" t="s">
        <v>99</v>
      </c>
      <c r="G26" s="4" t="str">
        <f t="shared" si="1"/>
        <v>Ray-Ban Sunglasses</v>
      </c>
      <c r="H26" s="31">
        <v>60</v>
      </c>
      <c r="I26" s="34">
        <v>60</v>
      </c>
      <c r="J26" s="6">
        <v>25</v>
      </c>
      <c r="K26" s="6" t="s">
        <v>32</v>
      </c>
      <c r="L26" s="6" t="s">
        <v>32</v>
      </c>
    </row>
    <row r="27" spans="1:12">
      <c r="A27" s="4" t="s">
        <v>100</v>
      </c>
      <c r="B27" s="22">
        <v>46214</v>
      </c>
      <c r="C27" s="23" t="s">
        <v>133</v>
      </c>
      <c r="D27" s="23" t="s">
        <v>51</v>
      </c>
      <c r="E27" s="4" t="str">
        <f t="shared" si="0"/>
        <v>Blender</v>
      </c>
      <c r="F27" s="4" t="s">
        <v>101</v>
      </c>
      <c r="G27" s="4" t="str">
        <f t="shared" si="1"/>
        <v>Vitamix Blender</v>
      </c>
      <c r="H27" s="24">
        <v>400</v>
      </c>
      <c r="I27" s="25">
        <v>400</v>
      </c>
      <c r="J27" s="4">
        <v>40</v>
      </c>
      <c r="K27" s="4" t="s">
        <v>36</v>
      </c>
      <c r="L27" s="4" t="s">
        <v>36</v>
      </c>
    </row>
    <row r="28" spans="1:12">
      <c r="A28" s="4" t="s">
        <v>102</v>
      </c>
      <c r="B28" s="22">
        <v>46088</v>
      </c>
      <c r="C28" s="23" t="s">
        <v>133</v>
      </c>
      <c r="D28" s="23" t="s">
        <v>103</v>
      </c>
      <c r="E28" s="4" t="str">
        <f t="shared" si="0"/>
        <v>Dress</v>
      </c>
      <c r="F28" s="4" t="s">
        <v>104</v>
      </c>
      <c r="G28" s="4" t="str">
        <f t="shared" si="1"/>
        <v>Zara Dress</v>
      </c>
      <c r="H28" s="24">
        <v>60</v>
      </c>
      <c r="I28" s="25">
        <v>60</v>
      </c>
      <c r="J28" s="4">
        <v>30</v>
      </c>
      <c r="K28" s="4" t="s">
        <v>32</v>
      </c>
      <c r="L28" s="4" t="s">
        <v>32</v>
      </c>
    </row>
    <row r="29" spans="1:12">
      <c r="A29" s="6" t="s">
        <v>105</v>
      </c>
      <c r="B29" s="26">
        <v>46125</v>
      </c>
      <c r="C29" s="23" t="s">
        <v>133</v>
      </c>
      <c r="D29" s="27" t="s">
        <v>106</v>
      </c>
      <c r="E29" s="4" t="str">
        <f t="shared" si="0"/>
        <v>Toaster</v>
      </c>
      <c r="F29" s="6" t="s">
        <v>107</v>
      </c>
      <c r="G29" s="4" t="str">
        <f t="shared" si="1"/>
        <v>Hamilton Toaster</v>
      </c>
      <c r="H29" s="28">
        <v>40</v>
      </c>
      <c r="I29" s="29">
        <v>40</v>
      </c>
      <c r="J29" s="6">
        <v>10</v>
      </c>
      <c r="K29" s="6" t="s">
        <v>36</v>
      </c>
      <c r="L29" s="6" t="s">
        <v>36</v>
      </c>
    </row>
    <row r="30" spans="1:12">
      <c r="A30" s="4" t="s">
        <v>108</v>
      </c>
      <c r="B30" s="22">
        <v>46166</v>
      </c>
      <c r="C30" s="23" t="s">
        <v>133</v>
      </c>
      <c r="D30" s="23" t="s">
        <v>93</v>
      </c>
      <c r="E30" s="4" t="str">
        <f t="shared" si="0"/>
        <v>Fitness Tracker</v>
      </c>
      <c r="F30" s="4" t="s">
        <v>109</v>
      </c>
      <c r="G30" s="4" t="str">
        <f t="shared" si="1"/>
        <v>Garmin Fitness Tracker</v>
      </c>
      <c r="H30" s="24">
        <v>130</v>
      </c>
      <c r="I30" s="25">
        <v>130</v>
      </c>
      <c r="J30" s="4">
        <v>5</v>
      </c>
      <c r="K30" s="4" t="s">
        <v>28</v>
      </c>
      <c r="L30" s="4" t="s">
        <v>28</v>
      </c>
    </row>
    <row r="31" spans="1:12">
      <c r="A31" s="6" t="s">
        <v>110</v>
      </c>
      <c r="B31" s="26">
        <v>46358</v>
      </c>
      <c r="C31" s="23" t="s">
        <v>133</v>
      </c>
      <c r="D31" s="27" t="s">
        <v>111</v>
      </c>
      <c r="E31" s="4" t="str">
        <f t="shared" si="0"/>
        <v>Jeans</v>
      </c>
      <c r="F31" s="6" t="s">
        <v>112</v>
      </c>
      <c r="G31" s="4" t="str">
        <f t="shared" si="1"/>
        <v>Levi's Jeans</v>
      </c>
      <c r="H31" s="28">
        <v>50</v>
      </c>
      <c r="I31" s="29">
        <v>50</v>
      </c>
      <c r="J31" s="6">
        <v>50</v>
      </c>
      <c r="K31" s="6" t="s">
        <v>32</v>
      </c>
      <c r="L31" s="6" t="s">
        <v>32</v>
      </c>
    </row>
    <row r="32" spans="1:12">
      <c r="A32" s="6" t="s">
        <v>113</v>
      </c>
      <c r="B32" s="26">
        <v>46212</v>
      </c>
      <c r="C32" s="23" t="s">
        <v>139</v>
      </c>
      <c r="D32" s="27" t="s">
        <v>114</v>
      </c>
      <c r="E32" s="4" t="str">
        <f t="shared" si="0"/>
        <v>Watch</v>
      </c>
      <c r="F32" s="6" t="s">
        <v>115</v>
      </c>
      <c r="G32" s="4" t="str">
        <f t="shared" si="1"/>
        <v>Casio Watch</v>
      </c>
      <c r="H32" s="28">
        <v>100</v>
      </c>
      <c r="I32" s="29">
        <v>100</v>
      </c>
      <c r="J32" s="6">
        <v>20</v>
      </c>
      <c r="K32" s="6" t="s">
        <v>75</v>
      </c>
      <c r="L32" s="6" t="s">
        <v>75</v>
      </c>
    </row>
    <row r="33" spans="2:4">
      <c r="B33" s="36"/>
      <c r="C33"/>
      <c r="D33"/>
    </row>
    <row r="34" spans="2:4">
      <c r="B34" s="36"/>
      <c r="C34"/>
      <c r="D34"/>
    </row>
    <row r="35" spans="2:4">
      <c r="B35" s="36"/>
      <c r="C35"/>
      <c r="D35"/>
    </row>
  </sheetData>
  <conditionalFormatting sqref="O3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{929391da-89f0-49f2-90cf-9d728f47750d}</x14:id>
        </ext>
      </extLst>
    </cfRule>
  </conditionalFormatting>
  <conditionalFormatting sqref="I$1:I$104857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{47f34f57-bf0f-40aa-8056-aa11d0cf0e4b}</x14:id>
        </ext>
      </extLst>
    </cfRule>
  </conditionalFormatting>
  <conditionalFormatting sqref="L$1:L$1048576">
    <cfRule type="containsText" dxfId="1" priority="2" operator="between" text="Electronics">
      <formula>NOT(ISERROR(SEARCH("Electronics",L1)))</formula>
    </cfRule>
    <cfRule type="containsText" dxfId="2" priority="1" operator="between" text="Electronics">
      <formula>NOT(ISERROR(SEARCH("Electronics",L1)))</formula>
    </cfRule>
  </conditionalFormatting>
  <pageMargins left="0.75" right="0.75" top="1" bottom="1" header="0.5" footer="0.5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9391da-89f0-49f2-90cf-9d728f47750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47f34f57-bf0f-40aa-8056-aa11d0cf0e4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I$1:I$1048576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selection activeCell="J16" sqref="J16"/>
    </sheetView>
  </sheetViews>
  <sheetFormatPr defaultColWidth="8.72727272727273" defaultRowHeight="14.5"/>
  <cols>
    <col min="1" max="1" width="11.4545454545455" customWidth="1"/>
    <col min="2" max="2" width="14.5454545454545" customWidth="1"/>
    <col min="3" max="3" width="12.3636363636364" customWidth="1"/>
    <col min="4" max="4" width="8.72727272727273" style="1" customWidth="1"/>
    <col min="5" max="5" width="13.7272727272727" customWidth="1"/>
    <col min="7" max="7" width="14.8181818181818" customWidth="1"/>
    <col min="8" max="8" width="18.9090909090909" customWidth="1"/>
    <col min="9" max="9" width="20.5454545454545" customWidth="1"/>
  </cols>
  <sheetData>
    <row r="1" spans="1:10">
      <c r="A1" s="2" t="s">
        <v>19</v>
      </c>
      <c r="B1" s="2" t="s">
        <v>20</v>
      </c>
      <c r="C1" s="2" t="s">
        <v>21</v>
      </c>
      <c r="D1" s="3" t="s">
        <v>22</v>
      </c>
      <c r="E1" s="2" t="s">
        <v>140</v>
      </c>
      <c r="F1" s="2" t="s">
        <v>23</v>
      </c>
      <c r="G1" s="2" t="s">
        <v>24</v>
      </c>
    </row>
    <row r="2" spans="1:10">
      <c r="A2" s="4" t="s">
        <v>25</v>
      </c>
      <c r="B2" s="4" t="s">
        <v>26</v>
      </c>
      <c r="C2" s="4" t="s">
        <v>27</v>
      </c>
      <c r="D2" s="5">
        <v>1000</v>
      </c>
      <c r="E2" s="4" t="b">
        <f>ISBLANK(D2)</f>
        <v>0</v>
      </c>
      <c r="F2" s="4">
        <v>30</v>
      </c>
      <c r="G2" s="4" t="s">
        <v>28</v>
      </c>
    </row>
    <row r="3" spans="1:10">
      <c r="A3" s="6" t="s">
        <v>29</v>
      </c>
      <c r="B3" s="6" t="s">
        <v>30</v>
      </c>
      <c r="C3" s="6" t="s">
        <v>31</v>
      </c>
      <c r="D3" s="7">
        <v>80</v>
      </c>
      <c r="E3" s="4" t="b">
        <f t="shared" ref="E3:E35" si="0">ISBLANK(D3)</f>
        <v>0</v>
      </c>
      <c r="F3" s="6">
        <v>15</v>
      </c>
      <c r="G3" s="6" t="s">
        <v>32</v>
      </c>
    </row>
    <row r="4" spans="1:10">
      <c r="A4" s="4" t="s">
        <v>33</v>
      </c>
      <c r="B4" s="4" t="s">
        <v>34</v>
      </c>
      <c r="C4" s="4" t="s">
        <v>35</v>
      </c>
      <c r="D4" s="5">
        <v>130</v>
      </c>
      <c r="E4" s="4" t="b">
        <f t="shared" si="0"/>
        <v>0</v>
      </c>
      <c r="F4" s="4">
        <v>40</v>
      </c>
      <c r="G4" s="4" t="s">
        <v>36</v>
      </c>
    </row>
    <row r="5" spans="1:10">
      <c r="A5" s="6" t="s">
        <v>37</v>
      </c>
      <c r="B5" s="6" t="s">
        <v>38</v>
      </c>
      <c r="C5" s="6" t="s">
        <v>39</v>
      </c>
      <c r="D5" s="7">
        <v>900</v>
      </c>
      <c r="E5" s="4" t="b">
        <f t="shared" si="0"/>
        <v>0</v>
      </c>
      <c r="F5" s="6">
        <v>25</v>
      </c>
      <c r="G5" s="6" t="s">
        <v>28</v>
      </c>
    </row>
    <row r="6" spans="1:10">
      <c r="A6" s="4" t="s">
        <v>40</v>
      </c>
      <c r="B6" s="4" t="s">
        <v>41</v>
      </c>
      <c r="C6" s="4" t="s">
        <v>42</v>
      </c>
      <c r="D6" s="5">
        <v>70</v>
      </c>
      <c r="E6" s="4" t="b">
        <f t="shared" si="0"/>
        <v>0</v>
      </c>
      <c r="F6" s="4">
        <v>20</v>
      </c>
      <c r="G6" s="8"/>
    </row>
    <row r="7" spans="1:10">
      <c r="A7" s="6" t="s">
        <v>43</v>
      </c>
      <c r="B7" s="6" t="s">
        <v>44</v>
      </c>
      <c r="C7" s="6" t="s">
        <v>45</v>
      </c>
      <c r="D7" s="9"/>
      <c r="E7" s="4" t="b">
        <f t="shared" si="0"/>
        <v>1</v>
      </c>
      <c r="F7" s="6">
        <v>45</v>
      </c>
      <c r="G7" s="10" t="s">
        <v>28</v>
      </c>
    </row>
    <row r="8" spans="1:10">
      <c r="A8" s="4" t="s">
        <v>47</v>
      </c>
      <c r="B8" s="4" t="s">
        <v>48</v>
      </c>
      <c r="C8" s="4" t="s">
        <v>49</v>
      </c>
      <c r="D8" s="5">
        <v>30</v>
      </c>
      <c r="E8" s="4" t="b">
        <f t="shared" si="0"/>
        <v>0</v>
      </c>
      <c r="F8" s="4">
        <v>5</v>
      </c>
      <c r="G8" s="4" t="s">
        <v>32</v>
      </c>
      <c r="H8" t="s">
        <v>141</v>
      </c>
      <c r="I8">
        <f>COUNTBLANK(D2:D35)</f>
        <v>3</v>
      </c>
    </row>
    <row r="9" spans="1:10">
      <c r="A9" s="6" t="s">
        <v>50</v>
      </c>
      <c r="B9" s="6" t="s">
        <v>51</v>
      </c>
      <c r="C9" s="6" t="s">
        <v>52</v>
      </c>
      <c r="D9" s="7">
        <v>90</v>
      </c>
      <c r="E9" s="4" t="b">
        <f t="shared" si="0"/>
        <v>0</v>
      </c>
      <c r="F9" s="6">
        <v>35</v>
      </c>
      <c r="G9" s="6" t="s">
        <v>36</v>
      </c>
      <c r="H9" t="s">
        <v>142</v>
      </c>
      <c r="I9">
        <f>COUNTBLANK(G2:G35)</f>
        <v>4</v>
      </c>
    </row>
    <row r="10" spans="1:10">
      <c r="A10" s="4" t="s">
        <v>53</v>
      </c>
      <c r="B10" s="4" t="s">
        <v>54</v>
      </c>
      <c r="C10" s="4" t="s">
        <v>55</v>
      </c>
      <c r="D10" s="5">
        <v>500</v>
      </c>
      <c r="E10" s="4" t="b">
        <f t="shared" si="0"/>
        <v>0</v>
      </c>
      <c r="F10" s="4">
        <v>50</v>
      </c>
      <c r="G10" s="4" t="s">
        <v>28</v>
      </c>
    </row>
    <row r="11" spans="1:10">
      <c r="A11" s="6" t="s">
        <v>56</v>
      </c>
      <c r="B11" s="6" t="s">
        <v>57</v>
      </c>
      <c r="C11" s="6" t="s">
        <v>58</v>
      </c>
      <c r="D11" s="7">
        <v>130</v>
      </c>
      <c r="E11" s="4" t="b">
        <f t="shared" si="0"/>
        <v>0</v>
      </c>
      <c r="F11" s="6">
        <v>10</v>
      </c>
      <c r="G11" s="6" t="s">
        <v>59</v>
      </c>
    </row>
    <row r="12" spans="1:10">
      <c r="A12" s="4" t="s">
        <v>60</v>
      </c>
      <c r="B12" s="4" t="s">
        <v>61</v>
      </c>
      <c r="C12" s="4" t="s">
        <v>62</v>
      </c>
      <c r="D12" s="5">
        <v>950</v>
      </c>
      <c r="E12" s="4" t="b">
        <f t="shared" si="0"/>
        <v>0</v>
      </c>
      <c r="F12" s="4">
        <v>25</v>
      </c>
      <c r="G12" s="4" t="s">
        <v>28</v>
      </c>
    </row>
    <row r="13" spans="1:10">
      <c r="A13" s="6" t="s">
        <v>63</v>
      </c>
      <c r="B13" s="6" t="s">
        <v>30</v>
      </c>
      <c r="C13" s="6" t="s">
        <v>49</v>
      </c>
      <c r="D13" s="7">
        <v>90</v>
      </c>
      <c r="E13" s="4" t="b">
        <f t="shared" si="0"/>
        <v>0</v>
      </c>
      <c r="F13" s="6">
        <v>40</v>
      </c>
      <c r="G13" s="11"/>
    </row>
    <row r="14" spans="1:10">
      <c r="A14" s="4" t="s">
        <v>64</v>
      </c>
      <c r="B14" s="4" t="s">
        <v>34</v>
      </c>
      <c r="C14" s="4" t="s">
        <v>65</v>
      </c>
      <c r="D14" s="5">
        <v>120</v>
      </c>
      <c r="E14" s="4" t="b">
        <f t="shared" si="0"/>
        <v>0</v>
      </c>
      <c r="F14" s="4">
        <v>35</v>
      </c>
      <c r="G14" s="8"/>
    </row>
    <row r="15" spans="1:10">
      <c r="A15" s="6" t="s">
        <v>66</v>
      </c>
      <c r="B15" s="6" t="s">
        <v>67</v>
      </c>
      <c r="C15" s="6" t="s">
        <v>68</v>
      </c>
      <c r="D15" s="7">
        <v>150</v>
      </c>
      <c r="E15" s="4" t="b">
        <f t="shared" si="0"/>
        <v>0</v>
      </c>
      <c r="F15" s="6">
        <v>15</v>
      </c>
      <c r="G15" s="6" t="s">
        <v>28</v>
      </c>
    </row>
    <row r="16" spans="1:10">
      <c r="A16" s="4" t="s">
        <v>69</v>
      </c>
      <c r="B16" s="4" t="s">
        <v>70</v>
      </c>
      <c r="C16" s="4" t="s">
        <v>71</v>
      </c>
      <c r="D16" s="5">
        <v>250</v>
      </c>
      <c r="E16" s="4" t="b">
        <f t="shared" si="0"/>
        <v>0</v>
      </c>
      <c r="F16" s="4">
        <v>20</v>
      </c>
      <c r="G16" s="4" t="s">
        <v>28</v>
      </c>
      <c r="I16" t="s">
        <v>143</v>
      </c>
      <c r="J16">
        <f>MEDIAN(D2,D5,D10,D12,D15,D16,D18,D19,D22,D26,D29,D32,D34)</f>
        <v>700</v>
      </c>
    </row>
    <row r="17" spans="1:9">
      <c r="A17" s="6" t="s">
        <v>72</v>
      </c>
      <c r="B17" s="6" t="s">
        <v>73</v>
      </c>
      <c r="C17" s="6" t="s">
        <v>74</v>
      </c>
      <c r="D17" s="7">
        <v>50</v>
      </c>
      <c r="E17" s="4" t="b">
        <f t="shared" si="0"/>
        <v>0</v>
      </c>
      <c r="F17" s="6">
        <v>35</v>
      </c>
      <c r="G17" s="6" t="s">
        <v>75</v>
      </c>
    </row>
    <row r="18" spans="1:9">
      <c r="A18" s="4" t="s">
        <v>76</v>
      </c>
      <c r="B18" s="4" t="s">
        <v>67</v>
      </c>
      <c r="C18" s="4" t="s">
        <v>77</v>
      </c>
      <c r="D18" s="5">
        <v>160</v>
      </c>
      <c r="E18" s="4" t="b">
        <f t="shared" si="0"/>
        <v>0</v>
      </c>
      <c r="F18" s="4">
        <v>15</v>
      </c>
      <c r="G18" s="4" t="s">
        <v>28</v>
      </c>
    </row>
    <row r="19" spans="1:9">
      <c r="A19" s="6" t="s">
        <v>78</v>
      </c>
      <c r="B19" s="6" t="s">
        <v>26</v>
      </c>
      <c r="C19" s="6" t="s">
        <v>79</v>
      </c>
      <c r="D19" s="7">
        <v>980</v>
      </c>
      <c r="E19" s="4" t="b">
        <f t="shared" si="0"/>
        <v>0</v>
      </c>
      <c r="F19" s="6">
        <v>10</v>
      </c>
      <c r="G19" s="4" t="s">
        <v>28</v>
      </c>
    </row>
    <row r="20" spans="1:9">
      <c r="A20" s="4" t="s">
        <v>80</v>
      </c>
      <c r="B20" s="4" t="s">
        <v>81</v>
      </c>
      <c r="C20" s="4" t="s">
        <v>82</v>
      </c>
      <c r="D20" s="5">
        <v>150</v>
      </c>
      <c r="E20" s="4" t="b">
        <f t="shared" si="0"/>
        <v>0</v>
      </c>
      <c r="F20" s="4">
        <v>15</v>
      </c>
      <c r="G20" s="4" t="s">
        <v>32</v>
      </c>
    </row>
    <row r="21" spans="1:9">
      <c r="A21" s="6" t="s">
        <v>83</v>
      </c>
      <c r="B21" s="6" t="s">
        <v>84</v>
      </c>
      <c r="C21" s="6" t="s">
        <v>85</v>
      </c>
      <c r="D21" s="9"/>
      <c r="E21" s="4" t="b">
        <f t="shared" si="0"/>
        <v>1</v>
      </c>
      <c r="F21" s="6">
        <v>10</v>
      </c>
      <c r="G21" s="4" t="s">
        <v>59</v>
      </c>
    </row>
    <row r="22" spans="1:9">
      <c r="A22" s="4" t="s">
        <v>86</v>
      </c>
      <c r="B22" s="4" t="s">
        <v>87</v>
      </c>
      <c r="C22" s="4" t="s">
        <v>88</v>
      </c>
      <c r="D22" s="5">
        <v>700</v>
      </c>
      <c r="E22" s="4" t="b">
        <f t="shared" si="0"/>
        <v>0</v>
      </c>
      <c r="F22" s="4">
        <v>50</v>
      </c>
      <c r="G22" s="4" t="s">
        <v>28</v>
      </c>
    </row>
    <row r="23" spans="1:9">
      <c r="A23" s="6" t="s">
        <v>89</v>
      </c>
      <c r="B23" s="6" t="s">
        <v>90</v>
      </c>
      <c r="C23" s="6" t="s">
        <v>91</v>
      </c>
      <c r="D23" s="7">
        <v>80</v>
      </c>
      <c r="E23" s="4" t="b">
        <f t="shared" si="0"/>
        <v>0</v>
      </c>
      <c r="F23" s="6">
        <v>20</v>
      </c>
      <c r="G23" s="6" t="s">
        <v>36</v>
      </c>
    </row>
    <row r="24" spans="1:9">
      <c r="A24" s="4" t="s">
        <v>92</v>
      </c>
      <c r="B24" s="4" t="s">
        <v>93</v>
      </c>
      <c r="C24" s="4" t="s">
        <v>94</v>
      </c>
      <c r="D24" s="5">
        <v>150</v>
      </c>
      <c r="E24" s="4" t="b">
        <f t="shared" si="0"/>
        <v>0</v>
      </c>
      <c r="F24" s="4">
        <v>30</v>
      </c>
      <c r="G24" s="8"/>
    </row>
    <row r="25" spans="1:9">
      <c r="A25" s="6" t="s">
        <v>72</v>
      </c>
      <c r="B25" s="6" t="s">
        <v>73</v>
      </c>
      <c r="C25" s="6" t="s">
        <v>74</v>
      </c>
      <c r="D25" s="7">
        <v>50</v>
      </c>
      <c r="E25" s="4" t="b">
        <f t="shared" si="0"/>
        <v>0</v>
      </c>
      <c r="F25" s="6">
        <v>35</v>
      </c>
      <c r="G25" s="6" t="s">
        <v>75</v>
      </c>
    </row>
    <row r="26" spans="1:9">
      <c r="A26" s="4" t="s">
        <v>95</v>
      </c>
      <c r="B26" s="4" t="s">
        <v>96</v>
      </c>
      <c r="C26" s="4" t="s">
        <v>97</v>
      </c>
      <c r="D26" s="5">
        <v>800</v>
      </c>
      <c r="E26" s="4" t="b">
        <f t="shared" si="0"/>
        <v>0</v>
      </c>
      <c r="F26" s="4">
        <v>45</v>
      </c>
      <c r="G26" s="4" t="s">
        <v>28</v>
      </c>
    </row>
    <row r="27" spans="1:9">
      <c r="A27" s="6" t="s">
        <v>98</v>
      </c>
      <c r="B27" s="6" t="s">
        <v>81</v>
      </c>
      <c r="C27" s="6" t="s">
        <v>99</v>
      </c>
      <c r="D27" s="9"/>
      <c r="E27" s="4" t="b">
        <f t="shared" si="0"/>
        <v>1</v>
      </c>
      <c r="F27" s="6">
        <v>25</v>
      </c>
      <c r="G27" s="4" t="s">
        <v>32</v>
      </c>
      <c r="I27">
        <f>MEDIAN(D3,D8,D20,D30,D33)</f>
        <v>60</v>
      </c>
    </row>
    <row r="28" spans="1:9">
      <c r="A28" s="4" t="s">
        <v>100</v>
      </c>
      <c r="B28" s="4" t="s">
        <v>51</v>
      </c>
      <c r="C28" s="4" t="s">
        <v>101</v>
      </c>
      <c r="D28" s="5">
        <v>400</v>
      </c>
      <c r="E28" s="4" t="b">
        <f t="shared" si="0"/>
        <v>0</v>
      </c>
      <c r="F28" s="4">
        <v>40</v>
      </c>
      <c r="G28" s="4" t="s">
        <v>36</v>
      </c>
    </row>
    <row r="29" spans="1:9">
      <c r="A29" s="6" t="s">
        <v>69</v>
      </c>
      <c r="B29" s="6" t="s">
        <v>70</v>
      </c>
      <c r="C29" s="6" t="s">
        <v>71</v>
      </c>
      <c r="D29" s="7">
        <v>250</v>
      </c>
      <c r="E29" s="4" t="b">
        <f t="shared" si="0"/>
        <v>0</v>
      </c>
      <c r="F29" s="6">
        <v>20</v>
      </c>
      <c r="G29" s="6" t="s">
        <v>28</v>
      </c>
    </row>
    <row r="30" spans="1:9">
      <c r="A30" s="4" t="s">
        <v>102</v>
      </c>
      <c r="B30" s="4" t="s">
        <v>103</v>
      </c>
      <c r="C30" s="4" t="s">
        <v>104</v>
      </c>
      <c r="D30" s="5">
        <v>60</v>
      </c>
      <c r="E30" s="4" t="b">
        <f t="shared" si="0"/>
        <v>0</v>
      </c>
      <c r="F30" s="4">
        <v>30</v>
      </c>
      <c r="G30" s="4" t="s">
        <v>32</v>
      </c>
    </row>
    <row r="31" spans="1:9">
      <c r="A31" s="6" t="s">
        <v>105</v>
      </c>
      <c r="B31" s="6" t="s">
        <v>106</v>
      </c>
      <c r="C31" s="6" t="s">
        <v>107</v>
      </c>
      <c r="D31" s="7">
        <v>40</v>
      </c>
      <c r="E31" s="4" t="b">
        <f t="shared" si="0"/>
        <v>0</v>
      </c>
      <c r="F31" s="6">
        <v>10</v>
      </c>
      <c r="G31" s="6" t="s">
        <v>36</v>
      </c>
    </row>
    <row r="32" spans="1:9">
      <c r="A32" s="4" t="s">
        <v>108</v>
      </c>
      <c r="B32" s="4" t="s">
        <v>93</v>
      </c>
      <c r="C32" s="4" t="s">
        <v>109</v>
      </c>
      <c r="D32" s="5">
        <v>130</v>
      </c>
      <c r="E32" s="4" t="b">
        <f t="shared" si="0"/>
        <v>0</v>
      </c>
      <c r="F32" s="4">
        <v>5</v>
      </c>
      <c r="G32" s="4" t="s">
        <v>28</v>
      </c>
    </row>
    <row r="33" spans="1:7">
      <c r="A33" s="6" t="s">
        <v>110</v>
      </c>
      <c r="B33" s="6" t="s">
        <v>111</v>
      </c>
      <c r="C33" s="6" t="s">
        <v>112</v>
      </c>
      <c r="D33" s="7">
        <v>50</v>
      </c>
      <c r="E33" s="4" t="b">
        <f t="shared" si="0"/>
        <v>0</v>
      </c>
      <c r="F33" s="6">
        <v>50</v>
      </c>
      <c r="G33" s="6" t="s">
        <v>32</v>
      </c>
    </row>
    <row r="34" spans="1:7">
      <c r="A34" s="4" t="s">
        <v>60</v>
      </c>
      <c r="B34" s="4" t="s">
        <v>61</v>
      </c>
      <c r="C34" s="4" t="s">
        <v>62</v>
      </c>
      <c r="D34" s="5">
        <v>950</v>
      </c>
      <c r="E34" s="4" t="b">
        <f t="shared" si="0"/>
        <v>0</v>
      </c>
      <c r="F34" s="4">
        <v>25</v>
      </c>
      <c r="G34" s="4" t="s">
        <v>28</v>
      </c>
    </row>
    <row r="35" spans="1:7">
      <c r="A35" s="6" t="s">
        <v>113</v>
      </c>
      <c r="B35" s="6" t="s">
        <v>114</v>
      </c>
      <c r="C35" s="6" t="s">
        <v>115</v>
      </c>
      <c r="D35" s="7">
        <v>100</v>
      </c>
      <c r="E35" s="4" t="b">
        <f t="shared" si="0"/>
        <v>0</v>
      </c>
      <c r="F35" s="6">
        <v>20</v>
      </c>
      <c r="G35" s="6" t="s">
        <v>75</v>
      </c>
    </row>
  </sheetData>
  <autoFilter xmlns:etc="http://www.wps.cn/officeDocument/2017/etCustomData" ref="A1:G3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Questions</vt:lpstr>
      <vt:lpstr>data set</vt:lpstr>
      <vt:lpstr>Answers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SALALA COMPUTERS</dc:creator>
  <cp:lastModifiedBy>Raheema Abdulla</cp:lastModifiedBy>
  <dcterms:created xsi:type="dcterms:W3CDTF">2026-09-03T08:35:00Z</dcterms:created>
  <dcterms:modified xsi:type="dcterms:W3CDTF">2026-09-11T16:25:48Z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8DE59FAFE86441E6B3E9C34CE3F937C2_11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